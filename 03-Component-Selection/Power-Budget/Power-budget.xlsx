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6BE702FA-7564-4683-BFF5-43D05C0D7881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Power Budg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1" l="1"/>
  <c r="G21" i="1" s="1"/>
  <c r="G28" i="1" l="1"/>
  <c r="G23" i="1"/>
</calcChain>
</file>

<file path=xl/sharedStrings.xml><?xml version="1.0" encoding="utf-8"?>
<sst xmlns="http://schemas.openxmlformats.org/spreadsheetml/2006/main" count="86" uniqueCount="42">
  <si>
    <t>Power Budget</t>
  </si>
  <si>
    <t>Team Number: 305</t>
  </si>
  <si>
    <t>Project Name: HMI Subsystem</t>
  </si>
  <si>
    <t>Version: 1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</si>
  <si>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</si>
  <si>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</si>
  <si>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</si>
  <si>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</si>
  <si>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</si>
  <si>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</si>
  <si>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 (mA)</t>
  </si>
  <si>
    <t>Unit</t>
  </si>
  <si>
    <t>ESP32-S3-WROOM</t>
  </si>
  <si>
    <t>ESP32-S3-WROOM-1-N16R8</t>
  </si>
  <si>
    <t>+3.0 - 3.6V</t>
  </si>
  <si>
    <t>mA</t>
  </si>
  <si>
    <t>0.96in OLED LCD</t>
  </si>
  <si>
    <t>CJJ_LCD 0.96</t>
  </si>
  <si>
    <t>+3.3V</t>
  </si>
  <si>
    <t>Status LEDs x4</t>
  </si>
  <si>
    <t>Generic LED</t>
  </si>
  <si>
    <t>LM2596S-3.3</t>
  </si>
  <si>
    <t>+4.5 - 40V</t>
  </si>
  <si>
    <t>+3.3V Power Rail</t>
  </si>
  <si>
    <t>Subtotal</t>
  </si>
  <si>
    <t>Safety Margin</t>
  </si>
  <si>
    <t>25%</t>
  </si>
  <si>
    <t>Total Current Required on +3.3V Rail</t>
  </si>
  <si>
    <t>Regulator</t>
  </si>
  <si>
    <t>Total Remaining Current Available on +3.3V Rail</t>
  </si>
  <si>
    <t>External Power Source</t>
  </si>
  <si>
    <t>Output Voltage</t>
  </si>
  <si>
    <t>Power Source Selection</t>
  </si>
  <si>
    <t>9V 3A Wall Adapter</t>
  </si>
  <si>
    <t>(full part number)</t>
  </si>
  <si>
    <t>9V DC</t>
  </si>
  <si>
    <t>+9V</t>
  </si>
  <si>
    <t>Power Rails Connected to
External Power Source</t>
  </si>
  <si>
    <t>Total Remaining Current Available on External Power Source</t>
  </si>
  <si>
    <t>Notes:</t>
  </si>
  <si>
    <t>LM2596S-3.3 is rated for 3A continuous output. 25% safety margin applied to all rail calculations. ESP32-S3 peak draw during WiFi transmission used as max current figure.</t>
  </si>
  <si>
    <t>Team Member: Christo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</si>
</sst>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i/>
      <sz val="11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8A0B4"/>
        <bgColor rgb="FFCC99FF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5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4" fillId="4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0B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7" zoomScale="90" zoomScaleNormal="90" workbookViewId="0">
      <selection activeCell="C35" sqref="C35"/>
    </sheetView>
  </sheetViews>
  <sheetFormatPr defaultColWidth="8.6640625" defaultRowHeight="14.25" x14ac:dyDescent="0.45"/>
  <cols>
    <col min="1" max="2" width="22" customWidth="1"/>
    <col min="3" max="3" width="18" customWidth="1"/>
    <col min="4" max="4" width="14" customWidth="1"/>
    <col min="5" max="5" width="8" customWidth="1"/>
    <col min="6" max="6" width="18" customWidth="1"/>
    <col min="7" max="7" width="14" customWidth="1"/>
    <col min="8" max="8" width="8" customWidth="1"/>
  </cols>
  <sheetData>
    <row r="1" spans="1:8" ht="30" customHeight="1" x14ac:dyDescent="0.45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45">
      <c r="A2" s="13" t="s">
        <v>1</v>
      </c>
      <c r="B2" s="13"/>
      <c r="C2" s="13"/>
      <c r="D2" s="13"/>
      <c r="E2" s="13"/>
      <c r="F2" s="13"/>
      <c r="G2" s="13"/>
      <c r="H2" s="13"/>
    </row>
    <row r="3" spans="1:8" ht="18" customHeight="1" x14ac:dyDescent="0.45">
      <c r="A3" s="13" t="s">
        <v>2</v>
      </c>
      <c r="B3" s="13"/>
      <c r="C3" s="13"/>
      <c r="D3" s="13"/>
      <c r="E3" s="13"/>
      <c r="F3" s="13"/>
      <c r="G3" s="13"/>
      <c r="H3" s="13"/>
    </row>
    <row r="4" spans="1:8" ht="18" customHeight="1" x14ac:dyDescent="0.45">
      <c r="A4" s="13" t="s">
        <v>41</v>
      </c>
      <c r="B4" s="13"/>
      <c r="C4" s="13"/>
      <c r="D4" s="13"/>
      <c r="E4" s="13"/>
      <c r="F4" s="13"/>
      <c r="G4" s="13"/>
      <c r="H4" s="13"/>
    </row>
    <row r="5" spans="1:8" ht="18" customHeight="1" x14ac:dyDescent="0.45">
      <c r="A5" s="13" t="s">
        <v>3</v>
      </c>
      <c r="B5" s="13"/>
      <c r="C5" s="13"/>
      <c r="D5" s="13"/>
      <c r="E5" s="13"/>
      <c r="F5" s="13"/>
      <c r="G5" s="13"/>
      <c r="H5" s="13"/>
    </row>
    <row r="7" spans="1:8" ht="39.75" customHeight="1" x14ac:dyDescent="0.45">
      <c r="A7" s="4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</row>
    <row r="8" spans="1:8" ht="18" customHeight="1" x14ac:dyDescent="0.45">
      <c r="A8" s="6"/>
      <c r="B8" s="7" t="s">
        <v>12</v>
      </c>
      <c r="C8" s="7" t="s">
        <v>13</v>
      </c>
      <c r="D8" s="6" t="s">
        <v>14</v>
      </c>
      <c r="E8" s="6">
        <v>1</v>
      </c>
      <c r="F8" s="6">
        <v>500</v>
      </c>
      <c r="G8" s="6">
        <v>500</v>
      </c>
      <c r="H8" s="6" t="s">
        <v>15</v>
      </c>
    </row>
    <row r="9" spans="1:8" ht="18" customHeight="1" x14ac:dyDescent="0.45">
      <c r="A9" s="6"/>
      <c r="B9" s="7" t="s">
        <v>16</v>
      </c>
      <c r="C9" s="7" t="s">
        <v>17</v>
      </c>
      <c r="D9" s="6" t="s">
        <v>18</v>
      </c>
      <c r="E9" s="6">
        <v>1</v>
      </c>
      <c r="F9" s="6">
        <v>20</v>
      </c>
      <c r="G9" s="6">
        <v>20</v>
      </c>
      <c r="H9" s="6" t="s">
        <v>15</v>
      </c>
    </row>
    <row r="10" spans="1:8" ht="18" customHeight="1" x14ac:dyDescent="0.45">
      <c r="A10" s="6"/>
      <c r="B10" s="7" t="s">
        <v>19</v>
      </c>
      <c r="C10" s="7" t="s">
        <v>20</v>
      </c>
      <c r="D10" s="6" t="s">
        <v>18</v>
      </c>
      <c r="E10" s="6">
        <v>4</v>
      </c>
      <c r="F10" s="6">
        <v>7</v>
      </c>
      <c r="G10" s="6">
        <v>28</v>
      </c>
      <c r="H10" s="6" t="s">
        <v>15</v>
      </c>
    </row>
    <row r="11" spans="1:8" ht="18" customHeight="1" x14ac:dyDescent="0.45">
      <c r="A11" s="6"/>
      <c r="B11" s="7" t="s">
        <v>21</v>
      </c>
      <c r="C11" s="7" t="s">
        <v>21</v>
      </c>
      <c r="D11" s="6" t="s">
        <v>22</v>
      </c>
      <c r="E11" s="6">
        <v>1</v>
      </c>
      <c r="F11" s="6">
        <v>3000</v>
      </c>
      <c r="G11" s="6">
        <v>3000</v>
      </c>
      <c r="H11" s="6" t="s">
        <v>15</v>
      </c>
    </row>
    <row r="12" spans="1:8" ht="18" customHeight="1" x14ac:dyDescent="0.45">
      <c r="A12" s="6"/>
      <c r="B12" s="6"/>
      <c r="C12" s="6"/>
      <c r="D12" s="6"/>
      <c r="E12" s="6"/>
      <c r="F12" s="6"/>
      <c r="G12" s="6"/>
      <c r="H12" s="6"/>
    </row>
    <row r="14" spans="1:8" ht="39.75" customHeight="1" x14ac:dyDescent="0.45">
      <c r="A14" s="4" t="s">
        <v>23</v>
      </c>
      <c r="B14" s="5" t="s">
        <v>5</v>
      </c>
      <c r="C14" s="5" t="s">
        <v>6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</row>
    <row r="15" spans="1:8" ht="18" customHeight="1" x14ac:dyDescent="0.45">
      <c r="A15" s="6"/>
      <c r="B15" s="7" t="s">
        <v>12</v>
      </c>
      <c r="C15" s="7" t="s">
        <v>13</v>
      </c>
      <c r="D15" s="6" t="s">
        <v>14</v>
      </c>
      <c r="E15" s="6">
        <v>1</v>
      </c>
      <c r="F15" s="6">
        <v>500</v>
      </c>
      <c r="G15" s="6">
        <v>500</v>
      </c>
      <c r="H15" s="6" t="s">
        <v>15</v>
      </c>
    </row>
    <row r="16" spans="1:8" ht="18" customHeight="1" x14ac:dyDescent="0.45">
      <c r="A16" s="6"/>
      <c r="B16" s="7" t="s">
        <v>16</v>
      </c>
      <c r="C16" s="7" t="s">
        <v>17</v>
      </c>
      <c r="D16" s="6" t="s">
        <v>18</v>
      </c>
      <c r="E16" s="6">
        <v>1</v>
      </c>
      <c r="F16" s="6">
        <v>20</v>
      </c>
      <c r="G16" s="6">
        <v>20</v>
      </c>
      <c r="H16" s="6" t="s">
        <v>15</v>
      </c>
    </row>
    <row r="17" spans="1:8" ht="18" customHeight="1" x14ac:dyDescent="0.45">
      <c r="A17" s="6"/>
      <c r="B17" s="7" t="s">
        <v>19</v>
      </c>
      <c r="C17" s="7" t="s">
        <v>20</v>
      </c>
      <c r="D17" s="6" t="s">
        <v>18</v>
      </c>
      <c r="E17" s="6">
        <v>4</v>
      </c>
      <c r="F17" s="6">
        <v>7</v>
      </c>
      <c r="G17" s="6">
        <v>28</v>
      </c>
      <c r="H17" s="6" t="s">
        <v>15</v>
      </c>
    </row>
    <row r="18" spans="1:8" ht="18" customHeight="1" x14ac:dyDescent="0.45">
      <c r="A18" s="6"/>
      <c r="B18" s="7"/>
      <c r="C18" s="7"/>
      <c r="D18" s="6"/>
      <c r="E18" s="6"/>
      <c r="F18" s="6">
        <v>0</v>
      </c>
      <c r="G18" s="6">
        <v>0</v>
      </c>
      <c r="H18" s="6"/>
    </row>
    <row r="19" spans="1:8" ht="18" customHeight="1" x14ac:dyDescent="0.45">
      <c r="A19" s="3" t="s">
        <v>24</v>
      </c>
      <c r="B19" s="3"/>
      <c r="C19" s="3"/>
      <c r="D19" s="3"/>
      <c r="E19" s="3"/>
      <c r="F19" s="3"/>
      <c r="G19" s="8">
        <f>SUM(G15:G17)</f>
        <v>548</v>
      </c>
      <c r="H19" s="6" t="s">
        <v>15</v>
      </c>
    </row>
    <row r="20" spans="1:8" ht="18" customHeight="1" x14ac:dyDescent="0.45">
      <c r="A20" s="3" t="s">
        <v>25</v>
      </c>
      <c r="B20" s="3"/>
      <c r="C20" s="3"/>
      <c r="D20" s="3"/>
      <c r="E20" s="3"/>
      <c r="F20" s="3"/>
      <c r="G20" s="8" t="s">
        <v>26</v>
      </c>
      <c r="H20" s="6"/>
    </row>
    <row r="21" spans="1:8" ht="18" customHeight="1" x14ac:dyDescent="0.45">
      <c r="A21" s="3" t="s">
        <v>27</v>
      </c>
      <c r="B21" s="3"/>
      <c r="C21" s="3"/>
      <c r="D21" s="3"/>
      <c r="E21" s="3"/>
      <c r="F21" s="3"/>
      <c r="G21" s="8">
        <f>G19*1.25</f>
        <v>685</v>
      </c>
      <c r="H21" s="6" t="s">
        <v>15</v>
      </c>
    </row>
    <row r="22" spans="1:8" ht="18" customHeight="1" x14ac:dyDescent="0.45">
      <c r="A22" s="9" t="s">
        <v>28</v>
      </c>
      <c r="B22" s="7" t="s">
        <v>21</v>
      </c>
      <c r="C22" s="7" t="s">
        <v>21</v>
      </c>
      <c r="D22" s="6" t="s">
        <v>22</v>
      </c>
      <c r="E22" s="6">
        <v>1</v>
      </c>
      <c r="F22" s="6">
        <v>3000</v>
      </c>
      <c r="G22" s="6">
        <v>3000</v>
      </c>
      <c r="H22" s="6" t="s">
        <v>15</v>
      </c>
    </row>
    <row r="23" spans="1:8" ht="18" customHeight="1" x14ac:dyDescent="0.45">
      <c r="A23" s="3" t="s">
        <v>29</v>
      </c>
      <c r="B23" s="3"/>
      <c r="C23" s="3"/>
      <c r="D23" s="3"/>
      <c r="E23" s="3"/>
      <c r="F23" s="3"/>
      <c r="G23" s="8">
        <f>G22-G21</f>
        <v>2315</v>
      </c>
      <c r="H23" s="6" t="s">
        <v>15</v>
      </c>
    </row>
    <row r="25" spans="1:8" ht="39.75" customHeight="1" x14ac:dyDescent="0.45">
      <c r="A25" s="4" t="s">
        <v>30</v>
      </c>
      <c r="B25" s="5" t="s">
        <v>5</v>
      </c>
      <c r="C25" s="5" t="s">
        <v>6</v>
      </c>
      <c r="D25" s="5" t="s">
        <v>7</v>
      </c>
      <c r="E25" s="5" t="s">
        <v>31</v>
      </c>
      <c r="F25" s="5" t="s">
        <v>9</v>
      </c>
      <c r="G25" s="5" t="s">
        <v>10</v>
      </c>
      <c r="H25" s="5" t="s">
        <v>11</v>
      </c>
    </row>
    <row r="26" spans="1:8" ht="18" customHeight="1" x14ac:dyDescent="0.45">
      <c r="A26" s="10" t="s">
        <v>32</v>
      </c>
      <c r="B26" s="7" t="s">
        <v>33</v>
      </c>
      <c r="C26" s="7" t="s">
        <v>34</v>
      </c>
      <c r="D26" s="6" t="s">
        <v>35</v>
      </c>
      <c r="E26" s="6" t="s">
        <v>36</v>
      </c>
      <c r="F26" s="6">
        <v>3000</v>
      </c>
      <c r="G26" s="6">
        <v>3000</v>
      </c>
      <c r="H26" s="6" t="s">
        <v>15</v>
      </c>
    </row>
    <row r="27" spans="1:8" ht="49.5" customHeight="1" x14ac:dyDescent="0.45">
      <c r="A27" s="11" t="s">
        <v>37</v>
      </c>
      <c r="B27" s="7" t="s">
        <v>21</v>
      </c>
      <c r="C27" s="7" t="s">
        <v>21</v>
      </c>
      <c r="D27" s="6" t="s">
        <v>22</v>
      </c>
      <c r="E27" s="6" t="s">
        <v>18</v>
      </c>
      <c r="F27" s="6">
        <v>3000</v>
      </c>
      <c r="G27" s="6">
        <v>3000</v>
      </c>
      <c r="H27" s="6" t="s">
        <v>15</v>
      </c>
    </row>
    <row r="28" spans="1:8" ht="18" customHeight="1" x14ac:dyDescent="0.45">
      <c r="A28" s="3" t="s">
        <v>38</v>
      </c>
      <c r="B28" s="3"/>
      <c r="C28" s="3"/>
      <c r="D28" s="3"/>
      <c r="E28" s="3"/>
      <c r="F28" s="3"/>
      <c r="G28" s="8">
        <f>G27-G21</f>
        <v>2315</v>
      </c>
      <c r="H28" s="6" t="s">
        <v>15</v>
      </c>
    </row>
    <row r="30" spans="1:8" x14ac:dyDescent="0.45">
      <c r="A30" s="2" t="s">
        <v>39</v>
      </c>
      <c r="B30" s="2"/>
      <c r="C30" s="2"/>
      <c r="D30" s="2"/>
      <c r="E30" s="2"/>
      <c r="F30" s="2"/>
      <c r="G30" s="2"/>
      <c r="H30" s="2"/>
    </row>
    <row r="31" spans="1:8" ht="36" customHeight="1" x14ac:dyDescent="0.45">
      <c r="A31" s="1" t="s">
        <v>40</v>
      </c>
      <c r="B31" s="1"/>
      <c r="C31" s="1"/>
      <c r="D31" s="1"/>
      <c r="E31" s="1"/>
      <c r="F31" s="1"/>
      <c r="G31" s="1"/>
      <c r="H31" s="1"/>
    </row>
  </sheetData>
  <mergeCells count="12">
    <mergeCell ref="A30:H30"/>
    <mergeCell ref="A31:H31"/>
    <mergeCell ref="A19:F19"/>
    <mergeCell ref="A20:F20"/>
    <mergeCell ref="A21:F21"/>
    <mergeCell ref="A23:F23"/>
    <mergeCell ref="A28:F28"/>
    <mergeCell ref="A1:H1"/>
    <mergeCell ref="A2:H2"/>
    <mergeCell ref="A3:H3"/>
    <mergeCell ref="A4:H4"/>
    <mergeCell ref="A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 Jomon Joseph</cp:lastModifiedBy>
  <cp:revision>0</cp:revision>
  <dcterms:created xsi:type="dcterms:W3CDTF">2026-03-07T02:18:53Z</dcterms:created>
  <dcterms:modified xsi:type="dcterms:W3CDTF">2026-03-07T02:27:17Z</dcterms:modified>
  <dc:language>en-US</dc:language>
</cp:coreProperties>
</file>