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izonastateu-my.sharepoint.com/personal/cjomonjo_sundevils_asu_edu/Documents/3 Junior/Semester 6/EGR 314/chvisto.github.io/docs/04-BOM/"/>
    </mc:Choice>
  </mc:AlternateContent>
  <xr:revisionPtr revIDLastSave="3" documentId="11_19D13AD5956CC0DF6E4270B7435DCE3A874711E0" xr6:coauthVersionLast="47" xr6:coauthVersionMax="47" xr10:uidLastSave="{DDA057B2-DA1E-4967-9F9A-E970739F61C5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D32" i="1"/>
  <c r="P31" i="1"/>
  <c r="F31" i="1"/>
  <c r="D31" i="1"/>
  <c r="F30" i="1"/>
  <c r="D30" i="1"/>
  <c r="F29" i="1"/>
  <c r="D29" i="1"/>
  <c r="P27" i="1"/>
  <c r="F27" i="1"/>
  <c r="D27" i="1"/>
  <c r="P26" i="1"/>
  <c r="F26" i="1"/>
  <c r="D26" i="1"/>
  <c r="P25" i="1"/>
  <c r="F25" i="1"/>
  <c r="D25" i="1"/>
  <c r="P24" i="1"/>
  <c r="F24" i="1"/>
  <c r="D24" i="1"/>
  <c r="P23" i="1"/>
  <c r="F23" i="1"/>
  <c r="D23" i="1"/>
  <c r="P22" i="1"/>
  <c r="F22" i="1"/>
  <c r="D22" i="1"/>
  <c r="P21" i="1"/>
  <c r="F21" i="1"/>
  <c r="D21" i="1"/>
  <c r="P20" i="1"/>
  <c r="F20" i="1"/>
  <c r="D20" i="1"/>
  <c r="P19" i="1"/>
  <c r="F19" i="1"/>
  <c r="D19" i="1"/>
  <c r="P18" i="1"/>
  <c r="F18" i="1"/>
  <c r="D18" i="1"/>
  <c r="P17" i="1"/>
  <c r="F17" i="1"/>
  <c r="D17" i="1"/>
  <c r="P16" i="1"/>
  <c r="F16" i="1"/>
  <c r="D16" i="1"/>
  <c r="P15" i="1"/>
  <c r="F15" i="1"/>
  <c r="D15" i="1"/>
  <c r="P14" i="1"/>
  <c r="F14" i="1"/>
  <c r="D14" i="1"/>
  <c r="P13" i="1"/>
  <c r="F13" i="1"/>
  <c r="D13" i="1"/>
  <c r="P12" i="1"/>
  <c r="F12" i="1"/>
  <c r="D12" i="1"/>
  <c r="P11" i="1"/>
  <c r="F11" i="1"/>
  <c r="D11" i="1"/>
  <c r="P10" i="1"/>
  <c r="F10" i="1"/>
  <c r="D10" i="1"/>
  <c r="P9" i="1"/>
  <c r="F9" i="1"/>
  <c r="D9" i="1"/>
  <c r="P8" i="1"/>
  <c r="F8" i="1"/>
  <c r="D8" i="1"/>
  <c r="P7" i="1"/>
  <c r="F7" i="1"/>
  <c r="D7" i="1"/>
  <c r="P6" i="1"/>
  <c r="F6" i="1"/>
  <c r="D6" i="1"/>
  <c r="P5" i="1"/>
  <c r="F5" i="1"/>
  <c r="D5" i="1"/>
  <c r="P4" i="1"/>
  <c r="F4" i="1"/>
  <c r="D4" i="1"/>
  <c r="P3" i="1"/>
  <c r="F3" i="1"/>
  <c r="D3" i="1"/>
</calcChain>
</file>

<file path=xl/sharedStrings.xml><?xml version="1.0" encoding="utf-8"?>
<sst xmlns="http://schemas.openxmlformats.org/spreadsheetml/2006/main" count="206" uniqueCount="155">
  <si>
    <t>Bill of Materials - HMI Subsystem</t>
  </si>
  <si>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</si>
  <si>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</si>
  <si>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</si>
  <si>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</si>
  <si>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</si>
  <si>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</si>
  <si>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</si>
  <si>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</si>
  <si>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</si>
  <si>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</si>
  <si>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</si>
  <si>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</si>
  <si>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</si>
  <si>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</si>
  <si>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</si>
  <si>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</si>
  <si>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</si>
  <si>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ESP32-S3-WROOM-1 Module, SMD, 4MB Flash</t>
  </si>
  <si>
    <t>Espressif</t>
  </si>
  <si>
    <t>ESP32-S3-WROOM-1-N4</t>
  </si>
  <si>
    <t>https://www.digikey.com/en/products/detail/espressif-systems/ESP32-S3-WROOM-1-N4/16162639</t>
  </si>
  <si>
    <t>Peralta Labs</t>
  </si>
  <si>
    <t>1965-ESP32-S3-WROOM-1-N4CT-ND</t>
  </si>
  <si>
    <t>E1</t>
  </si>
  <si>
    <t>Buck Switching Regulator, 3.3V Fixed, 3A, TO-263-5</t>
  </si>
  <si>
    <t>Texas Instruments</t>
  </si>
  <si>
    <t>LM2596S-3.3/NOPB</t>
  </si>
  <si>
    <t>https://www.digikey.com/en/products/detail/texas-instruments/LM2596S-3-3-NOPB/363704</t>
  </si>
  <si>
    <t>LM2596S-3.3/NOPB-ND</t>
  </si>
  <si>
    <t>U1</t>
  </si>
  <si>
    <t>USB Mini B Receptacle, 5-Pin, SMT Right Angle</t>
  </si>
  <si>
    <t>Hirose</t>
  </si>
  <si>
    <t>UX60SC-MB-5S8</t>
  </si>
  <si>
    <t>https://www.digikey.com/en/products/detail/hirose-electric-co-ltd/UX60SC-MB-5S8/1949202</t>
  </si>
  <si>
    <t>H11645-ND</t>
  </si>
  <si>
    <t>J1</t>
  </si>
  <si>
    <t>Connector Header, Through Hole, 8 Position, 2.54mm</t>
  </si>
  <si>
    <t>Wurth Elektronik</t>
  </si>
  <si>
    <t>61300811121</t>
  </si>
  <si>
    <t>https://www.digikey.com/en/products/detail/w%C3%BCrth-elektronik/61300811121/4846839</t>
  </si>
  <si>
    <t>609-5123-ND</t>
  </si>
  <si>
    <t>J3, J4, J5, J6, J7</t>
  </si>
  <si>
    <t>DC Barrel Jack with Switch, 2.1mm ID, PCB Mount</t>
  </si>
  <si>
    <t>Same Sky (CUI Devices)</t>
  </si>
  <si>
    <t>PJ-002BH</t>
  </si>
  <si>
    <t>https://www.digikey.com/en/products/detail/cui-devices/PJ-002BH/408447</t>
  </si>
  <si>
    <t>DigiKey</t>
  </si>
  <si>
    <t>CP-002BH-ND</t>
  </si>
  <si>
    <t>J2</t>
  </si>
  <si>
    <t>0.96" I2C OLED Display Module, 128x64, SSD1306</t>
  </si>
  <si>
    <t>Songhe</t>
  </si>
  <si>
    <t>B085WCRS7C</t>
  </si>
  <si>
    <t>https://www.amazon.com/dp/B085WCRS7C</t>
  </si>
  <si>
    <t>Class</t>
  </si>
  <si>
    <t>-</t>
  </si>
  <si>
    <t>LCD1</t>
  </si>
  <si>
    <t>Schottky Rectifier Diode, 5A, 40V, DO-214AB SMD (1N5824 sub)</t>
  </si>
  <si>
    <t>Vishay</t>
  </si>
  <si>
    <t>SSC54-E3/57T</t>
  </si>
  <si>
    <t>https://www.digikey.com/en/products/detail/vishay-general-semiconductor-diodes-division/SSC54-E3-57T/1091564</t>
  </si>
  <si>
    <t>SSC54-E3/57TGICT-ND</t>
  </si>
  <si>
    <t>D1</t>
  </si>
  <si>
    <t>ESD Protection TVS, 5.25V, USB 2.0 HS, SOT-23-6</t>
  </si>
  <si>
    <t>STMicroelectronics</t>
  </si>
  <si>
    <t>USBLC6-2SC6Y</t>
  </si>
  <si>
    <t>https://www.digikey.com/en/products/detail/stmicroelectronics/USBLC6-2SC6Y/2819177</t>
  </si>
  <si>
    <t>497-11882-2-ND</t>
  </si>
  <si>
    <t>D6, D7</t>
  </si>
  <si>
    <t>LED Blue, T-1 3/4 (5mm), 20mA</t>
  </si>
  <si>
    <t>151051BS04000</t>
  </si>
  <si>
    <t>732-5013-ND</t>
  </si>
  <si>
    <t>D2</t>
  </si>
  <si>
    <t>LED Green, T-1 3/4 (5mm), 20mA</t>
  </si>
  <si>
    <t>151051VS04000</t>
  </si>
  <si>
    <t>732-5015-ND</t>
  </si>
  <si>
    <t>D3</t>
  </si>
  <si>
    <t>LED White, T-1 3/4 (5mm), 20mA</t>
  </si>
  <si>
    <t>151051WS04000</t>
  </si>
  <si>
    <t>732-5016-ND</t>
  </si>
  <si>
    <t>D4</t>
  </si>
  <si>
    <t>LED Red, T-1 3/4 (5mm), 20mA</t>
  </si>
  <si>
    <t>151051RS04000</t>
  </si>
  <si>
    <t>732-5011-ND</t>
  </si>
  <si>
    <t>D5</t>
  </si>
  <si>
    <t>Fixed Inductor, 33uH, 3A, Shielded SMD</t>
  </si>
  <si>
    <t>Bourns</t>
  </si>
  <si>
    <t>SRR1260-330M</t>
  </si>
  <si>
    <t>https://www.digikey.com/en/products/detail/bourns-inc/SRR1260-330M/2127415</t>
  </si>
  <si>
    <t>SRR1260-330MCT-ND</t>
  </si>
  <si>
    <t>L1</t>
  </si>
  <si>
    <t>Fuse, 1A Fast-Blow, 5x20mm Glass Cartridge</t>
  </si>
  <si>
    <t>Littelfuse</t>
  </si>
  <si>
    <t>0217001.MXP</t>
  </si>
  <si>
    <t>https://www.digikey.com/en/products/detail/littelfuse-inc/0217001-MXP/777543</t>
  </si>
  <si>
    <t>F5929-ND</t>
  </si>
  <si>
    <t>F1</t>
  </si>
  <si>
    <t>Fuse Holder, 5x20mm Cartridge, PCB Mount</t>
  </si>
  <si>
    <t>696108003002</t>
  </si>
  <si>
    <t>https://www.digikey.com/en/products/detail/w%C3%BCrth-elektronik/696108003002/7244560</t>
  </si>
  <si>
    <t>732-11376-ND</t>
  </si>
  <si>
    <t>F1 holder</t>
  </si>
  <si>
    <t>Electrolytic Capacitor, 100uF 16V, Radial Can SMD</t>
  </si>
  <si>
    <t>Panasonic</t>
  </si>
  <si>
    <t>ECA-1CM101</t>
  </si>
  <si>
    <t>https://www.digikey.com/en/products/detail/panasonic-electronic-components/ECA-1CM101/244997</t>
  </si>
  <si>
    <t>P5138-ND</t>
  </si>
  <si>
    <t>C1</t>
  </si>
  <si>
    <t>Electrolytic Capacitor, 220uF 16V, Radial Can SMD</t>
  </si>
  <si>
    <t>EEE-1AA221XAP</t>
  </si>
  <si>
    <t>https://www.digikey.com/en/products/result?keywords=EEE-1AA221XAP</t>
  </si>
  <si>
    <t>PCE4570CT-ND</t>
  </si>
  <si>
    <t>C2</t>
  </si>
  <si>
    <t>Ceramic Capacitor, 0.1uF 50V, 0805 SMD (x3)</t>
  </si>
  <si>
    <t>—</t>
  </si>
  <si>
    <t>Lab Reels</t>
  </si>
  <si>
    <t>C3, C4, C5</t>
  </si>
  <si>
    <t>Resistor, 10k, 1206 SMD (x7)</t>
  </si>
  <si>
    <t>R1, R2, R3, R4, R5, R6, R7</t>
  </si>
  <si>
    <t>Resistor, 10k, 1206 SMD (x3)</t>
  </si>
  <si>
    <t>R10, R11, R16</t>
  </si>
  <si>
    <t>Resistor, 27 Ohm, 1206 SMD (x2)</t>
  </si>
  <si>
    <t>R8, R9</t>
  </si>
  <si>
    <t>Resistor, 470 Ohm, 1206 SMD (x2)</t>
  </si>
  <si>
    <t>R12, R13</t>
  </si>
  <si>
    <t>Resistor, 100 Ohm, 1206 SMD (x4)</t>
  </si>
  <si>
    <t>R14, R15, R17, R18</t>
  </si>
  <si>
    <t>Tactile Push Button Switch, SPST, Through Hole (x10)</t>
  </si>
  <si>
    <t>E-Switch</t>
  </si>
  <si>
    <t>TL1105SPF160Q</t>
  </si>
  <si>
    <t>https://www.digikey.com/en/products/detail/e-switch/TL1105SPF160Q/271573</t>
  </si>
  <si>
    <t>EG2506-ND</t>
  </si>
  <si>
    <t>SW1, SW2, SW3, SW4, SW5, SW6, SW7, SW8, SW9, SW10</t>
  </si>
  <si>
    <t>2-Pin Jumper, 2.54mm (x3)</t>
  </si>
  <si>
    <t>61300211121</t>
  </si>
  <si>
    <t>https://www.digikey.com/en/products/detail/wurth-elektronik/61300211121/4846823</t>
  </si>
  <si>
    <t>732-5887-1-ND</t>
  </si>
  <si>
    <t>JP1, JP2, JP3</t>
  </si>
  <si>
    <t>Schottky Diode, 30V 200mA, SOD-123</t>
  </si>
  <si>
    <t>onsemi</t>
  </si>
  <si>
    <t>BAT54T1G</t>
  </si>
  <si>
    <t>https://www.digikey.com/en/products/detail/onsemi/BAT54T1G/918319</t>
  </si>
  <si>
    <t>https://www.onsemi.com/pdf/datasheet/bat54-d.pdf</t>
  </si>
  <si>
    <t>BAT54T1GOSDKR-ND</t>
  </si>
  <si>
    <t>D8</t>
  </si>
  <si>
    <t>Fuse, 500mA Fast-Blow, 5x20mm Glass Cartridge</t>
  </si>
  <si>
    <t>0217.500MXP</t>
  </si>
  <si>
    <t>https://www.digikey.com/en/products/detail/littelfuse-inc/0217-500MXP/777536</t>
  </si>
  <si>
    <t>https://www.littelfuse.com/~/media/electronics/datasheets/fuses/littelfuse_fuse_217_datasheet.pdf.pdf</t>
  </si>
  <si>
    <t>F4744-ND</t>
  </si>
  <si>
    <t>F2</t>
  </si>
  <si>
    <t>Test Point, SMD Pad (x30)</t>
  </si>
  <si>
    <t>PCB (no vendor)</t>
  </si>
  <si>
    <t>TP1-TP30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</si>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</sst>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24"/>
      <name val="Cambria"/>
    </font>
    <font>
      <b/>
      <sz val="11"/>
      <name val="Cambria"/>
    </font>
    <font>
      <sz val="11"/>
      <name val="Cambria"/>
    </font>
  </fonts>
  <fills count="3">
    <fill>
      <patternFill patternType="none"/>
    </fill>
    <fill>
      <patternFill patternType="gray125"/>
    </fill>
    <fill>
      <patternFill patternType="solid">
        <f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2"/>
  <sheetViews>
    <sheetView tabSelected="1" workbookViewId="0">
      <pane ySplit="2" topLeftCell="A3" activePane="bottomLeft" state="frozen"/>
      <selection pane="bottomLeft" sqref="A1:Q1"/>
    </sheetView>
  </sheetViews>
  <sheetFormatPr defaultRowHeight="14.25" x14ac:dyDescent="0.45"/>
  <cols>
    <col min="1" max="1" width="50" customWidth="1"/>
    <col min="2" max="2" width="15" customWidth="1"/>
    <col min="3" max="3" width="21" customWidth="1"/>
    <col min="4" max="4" width="22" customWidth="1"/>
    <col min="5" max="5" width="21" customWidth="1"/>
    <col min="6" max="6" width="23" customWidth="1"/>
    <col min="7" max="7" width="19" customWidth="1"/>
    <col min="8" max="8" width="21" customWidth="1"/>
    <col min="9" max="10" width="30" customWidth="1"/>
    <col min="11" max="11" width="14" customWidth="1"/>
    <col min="12" max="12" width="31" customWidth="1"/>
    <col min="13" max="13" width="11" customWidth="1"/>
    <col min="14" max="14" width="14" customWidth="1"/>
    <col min="15" max="15" width="12" customWidth="1"/>
    <col min="16" max="16" width="10" customWidth="1"/>
    <col min="17" max="17" width="50" customWidth="1"/>
  </cols>
  <sheetData>
    <row r="1" spans="1:17" ht="29.2" customHeight="1" x14ac:dyDescent="0.7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5.75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15.75" customHeight="1" x14ac:dyDescent="0.45">
      <c r="A3" s="2" t="s">
        <v>18</v>
      </c>
      <c r="B3" s="3">
        <v>1</v>
      </c>
      <c r="C3" s="4">
        <v>0</v>
      </c>
      <c r="D3" s="4">
        <f t="shared" ref="D3:D27" si="0">B3*C3</f>
        <v>0</v>
      </c>
      <c r="E3" s="4">
        <v>0</v>
      </c>
      <c r="F3" s="4">
        <f t="shared" ref="F3:F27" si="1">B3*E3</f>
        <v>0</v>
      </c>
      <c r="G3" s="2" t="s">
        <v>19</v>
      </c>
      <c r="H3" s="2" t="s">
        <v>20</v>
      </c>
      <c r="I3" s="2" t="s">
        <v>21</v>
      </c>
      <c r="J3" s="2"/>
      <c r="K3" s="2" t="s">
        <v>22</v>
      </c>
      <c r="L3" s="2" t="s">
        <v>23</v>
      </c>
      <c r="M3" s="3">
        <v>0</v>
      </c>
      <c r="N3" s="5"/>
      <c r="O3" s="3">
        <v>0</v>
      </c>
      <c r="P3" s="3">
        <f t="shared" ref="P3:P27" si="2">O3-B3</f>
        <v>-1</v>
      </c>
      <c r="Q3" s="2" t="s">
        <v>24</v>
      </c>
    </row>
    <row r="4" spans="1:17" ht="15.75" customHeight="1" x14ac:dyDescent="0.45">
      <c r="A4" s="2" t="s">
        <v>25</v>
      </c>
      <c r="B4" s="3">
        <v>1</v>
      </c>
      <c r="C4" s="4">
        <v>6.97</v>
      </c>
      <c r="D4" s="4">
        <f t="shared" si="0"/>
        <v>6.97</v>
      </c>
      <c r="E4" s="4">
        <v>6.97</v>
      </c>
      <c r="F4" s="4">
        <f t="shared" si="1"/>
        <v>6.97</v>
      </c>
      <c r="G4" s="2" t="s">
        <v>26</v>
      </c>
      <c r="H4" s="2" t="s">
        <v>27</v>
      </c>
      <c r="I4" s="2" t="s">
        <v>28</v>
      </c>
      <c r="J4" s="2"/>
      <c r="K4" s="2" t="s">
        <v>22</v>
      </c>
      <c r="L4" s="2" t="s">
        <v>29</v>
      </c>
      <c r="M4" s="3">
        <v>0</v>
      </c>
      <c r="N4" s="5"/>
      <c r="O4" s="3">
        <v>0</v>
      </c>
      <c r="P4" s="3">
        <f t="shared" si="2"/>
        <v>-1</v>
      </c>
      <c r="Q4" s="2" t="s">
        <v>30</v>
      </c>
    </row>
    <row r="5" spans="1:17" ht="15.75" customHeight="1" x14ac:dyDescent="0.45">
      <c r="A5" s="2" t="s">
        <v>31</v>
      </c>
      <c r="B5" s="3">
        <v>1</v>
      </c>
      <c r="C5" s="4">
        <v>0</v>
      </c>
      <c r="D5" s="4">
        <f t="shared" si="0"/>
        <v>0</v>
      </c>
      <c r="E5" s="4">
        <v>0</v>
      </c>
      <c r="F5" s="4">
        <f t="shared" si="1"/>
        <v>0</v>
      </c>
      <c r="G5" s="2" t="s">
        <v>32</v>
      </c>
      <c r="H5" s="2" t="s">
        <v>33</v>
      </c>
      <c r="I5" s="2" t="s">
        <v>34</v>
      </c>
      <c r="J5" s="2"/>
      <c r="K5" s="2" t="s">
        <v>22</v>
      </c>
      <c r="L5" s="2" t="s">
        <v>35</v>
      </c>
      <c r="M5" s="3">
        <v>0</v>
      </c>
      <c r="N5" s="5"/>
      <c r="O5" s="3">
        <v>0</v>
      </c>
      <c r="P5" s="3">
        <f t="shared" si="2"/>
        <v>-1</v>
      </c>
      <c r="Q5" s="2" t="s">
        <v>36</v>
      </c>
    </row>
    <row r="6" spans="1:17" ht="15.75" customHeight="1" x14ac:dyDescent="0.45">
      <c r="A6" s="2" t="s">
        <v>37</v>
      </c>
      <c r="B6" s="3">
        <v>5</v>
      </c>
      <c r="C6" s="4">
        <v>0</v>
      </c>
      <c r="D6" s="4">
        <f t="shared" si="0"/>
        <v>0</v>
      </c>
      <c r="E6" s="4">
        <v>0</v>
      </c>
      <c r="F6" s="4">
        <f t="shared" si="1"/>
        <v>0</v>
      </c>
      <c r="G6" s="2" t="s">
        <v>38</v>
      </c>
      <c r="H6" s="2" t="s">
        <v>39</v>
      </c>
      <c r="I6" s="2" t="s">
        <v>40</v>
      </c>
      <c r="J6" s="2"/>
      <c r="K6" s="2" t="s">
        <v>22</v>
      </c>
      <c r="L6" s="2" t="s">
        <v>41</v>
      </c>
      <c r="M6" s="3">
        <v>0</v>
      </c>
      <c r="N6" s="5"/>
      <c r="O6" s="3">
        <v>0</v>
      </c>
      <c r="P6" s="3">
        <f t="shared" si="2"/>
        <v>-5</v>
      </c>
      <c r="Q6" s="2" t="s">
        <v>42</v>
      </c>
    </row>
    <row r="7" spans="1:17" ht="15.75" customHeight="1" x14ac:dyDescent="0.45">
      <c r="A7" s="2" t="s">
        <v>43</v>
      </c>
      <c r="B7" s="3">
        <v>1</v>
      </c>
      <c r="C7" s="4">
        <v>0.64</v>
      </c>
      <c r="D7" s="4">
        <f t="shared" si="0"/>
        <v>0.64</v>
      </c>
      <c r="E7" s="4">
        <v>0.64</v>
      </c>
      <c r="F7" s="4">
        <f t="shared" si="1"/>
        <v>0.64</v>
      </c>
      <c r="G7" s="2" t="s">
        <v>44</v>
      </c>
      <c r="H7" s="2" t="s">
        <v>45</v>
      </c>
      <c r="I7" s="2" t="s">
        <v>46</v>
      </c>
      <c r="J7" s="2"/>
      <c r="K7" s="2" t="s">
        <v>47</v>
      </c>
      <c r="L7" s="2" t="s">
        <v>48</v>
      </c>
      <c r="M7" s="3">
        <v>0</v>
      </c>
      <c r="N7" s="5"/>
      <c r="O7" s="3">
        <v>0</v>
      </c>
      <c r="P7" s="3">
        <f t="shared" si="2"/>
        <v>-1</v>
      </c>
      <c r="Q7" s="2" t="s">
        <v>49</v>
      </c>
    </row>
    <row r="8" spans="1:17" ht="15.75" customHeight="1" x14ac:dyDescent="0.45">
      <c r="A8" s="2" t="s">
        <v>50</v>
      </c>
      <c r="B8" s="3">
        <v>1</v>
      </c>
      <c r="C8" s="4">
        <v>0</v>
      </c>
      <c r="D8" s="4">
        <f t="shared" si="0"/>
        <v>0</v>
      </c>
      <c r="E8" s="4">
        <v>0</v>
      </c>
      <c r="F8" s="4">
        <f t="shared" si="1"/>
        <v>0</v>
      </c>
      <c r="G8" s="2" t="s">
        <v>51</v>
      </c>
      <c r="H8" s="2" t="s">
        <v>52</v>
      </c>
      <c r="I8" s="2" t="s">
        <v>53</v>
      </c>
      <c r="J8" s="2"/>
      <c r="K8" s="2" t="s">
        <v>54</v>
      </c>
      <c r="L8" s="2" t="s">
        <v>55</v>
      </c>
      <c r="M8" s="3">
        <v>0</v>
      </c>
      <c r="N8" s="5"/>
      <c r="O8" s="3">
        <v>0</v>
      </c>
      <c r="P8" s="3">
        <f t="shared" si="2"/>
        <v>-1</v>
      </c>
      <c r="Q8" s="2" t="s">
        <v>56</v>
      </c>
    </row>
    <row r="9" spans="1:17" ht="15.75" customHeight="1" x14ac:dyDescent="0.45">
      <c r="A9" s="2" t="s">
        <v>57</v>
      </c>
      <c r="B9" s="3">
        <v>1</v>
      </c>
      <c r="C9" s="4">
        <v>0.42</v>
      </c>
      <c r="D9" s="4">
        <f t="shared" si="0"/>
        <v>0.42</v>
      </c>
      <c r="E9" s="4">
        <v>0.42</v>
      </c>
      <c r="F9" s="4">
        <f t="shared" si="1"/>
        <v>0.42</v>
      </c>
      <c r="G9" s="2" t="s">
        <v>58</v>
      </c>
      <c r="H9" s="2" t="s">
        <v>59</v>
      </c>
      <c r="I9" s="2" t="s">
        <v>60</v>
      </c>
      <c r="J9" s="2"/>
      <c r="K9" s="2" t="s">
        <v>47</v>
      </c>
      <c r="L9" s="2" t="s">
        <v>61</v>
      </c>
      <c r="M9" s="3">
        <v>0</v>
      </c>
      <c r="N9" s="5"/>
      <c r="O9" s="3">
        <v>0</v>
      </c>
      <c r="P9" s="3">
        <f t="shared" si="2"/>
        <v>-1</v>
      </c>
      <c r="Q9" s="2" t="s">
        <v>62</v>
      </c>
    </row>
    <row r="10" spans="1:17" ht="15.75" customHeight="1" x14ac:dyDescent="0.45">
      <c r="A10" s="2" t="s">
        <v>63</v>
      </c>
      <c r="B10" s="3">
        <v>2</v>
      </c>
      <c r="C10" s="4">
        <v>0.46</v>
      </c>
      <c r="D10" s="4">
        <f t="shared" si="0"/>
        <v>0.92</v>
      </c>
      <c r="E10" s="4">
        <v>0.46</v>
      </c>
      <c r="F10" s="4">
        <f t="shared" si="1"/>
        <v>0.92</v>
      </c>
      <c r="G10" s="2" t="s">
        <v>64</v>
      </c>
      <c r="H10" s="2" t="s">
        <v>65</v>
      </c>
      <c r="I10" s="2" t="s">
        <v>66</v>
      </c>
      <c r="J10" s="2"/>
      <c r="K10" s="2" t="s">
        <v>47</v>
      </c>
      <c r="L10" s="2" t="s">
        <v>67</v>
      </c>
      <c r="M10" s="3">
        <v>0</v>
      </c>
      <c r="N10" s="5"/>
      <c r="O10" s="3">
        <v>0</v>
      </c>
      <c r="P10" s="3">
        <f t="shared" si="2"/>
        <v>-2</v>
      </c>
      <c r="Q10" s="2" t="s">
        <v>68</v>
      </c>
    </row>
    <row r="11" spans="1:17" ht="15.75" customHeight="1" x14ac:dyDescent="0.45">
      <c r="A11" s="2" t="s">
        <v>69</v>
      </c>
      <c r="B11" s="3">
        <v>1</v>
      </c>
      <c r="C11" s="4">
        <v>0</v>
      </c>
      <c r="D11" s="4">
        <f t="shared" si="0"/>
        <v>0</v>
      </c>
      <c r="E11" s="4">
        <v>0</v>
      </c>
      <c r="F11" s="4">
        <f t="shared" si="1"/>
        <v>0</v>
      </c>
      <c r="G11" s="2" t="s">
        <v>38</v>
      </c>
      <c r="H11" s="2" t="s">
        <v>70</v>
      </c>
      <c r="I11" s="2"/>
      <c r="J11" s="2"/>
      <c r="K11" s="2" t="s">
        <v>22</v>
      </c>
      <c r="L11" s="2" t="s">
        <v>71</v>
      </c>
      <c r="M11" s="3">
        <v>0</v>
      </c>
      <c r="N11" s="5"/>
      <c r="O11" s="3">
        <v>0</v>
      </c>
      <c r="P11" s="3">
        <f t="shared" si="2"/>
        <v>-1</v>
      </c>
      <c r="Q11" s="2" t="s">
        <v>72</v>
      </c>
    </row>
    <row r="12" spans="1:17" ht="15.75" customHeight="1" x14ac:dyDescent="0.45">
      <c r="A12" s="2" t="s">
        <v>73</v>
      </c>
      <c r="B12" s="3">
        <v>1</v>
      </c>
      <c r="C12" s="4">
        <v>0</v>
      </c>
      <c r="D12" s="4">
        <f t="shared" si="0"/>
        <v>0</v>
      </c>
      <c r="E12" s="4">
        <v>0</v>
      </c>
      <c r="F12" s="4">
        <f t="shared" si="1"/>
        <v>0</v>
      </c>
      <c r="G12" s="2" t="s">
        <v>38</v>
      </c>
      <c r="H12" s="2" t="s">
        <v>74</v>
      </c>
      <c r="I12" s="2"/>
      <c r="J12" s="2"/>
      <c r="K12" s="2" t="s">
        <v>22</v>
      </c>
      <c r="L12" s="2" t="s">
        <v>75</v>
      </c>
      <c r="M12" s="3">
        <v>0</v>
      </c>
      <c r="N12" s="5"/>
      <c r="O12" s="3">
        <v>0</v>
      </c>
      <c r="P12" s="3">
        <f t="shared" si="2"/>
        <v>-1</v>
      </c>
      <c r="Q12" s="2" t="s">
        <v>76</v>
      </c>
    </row>
    <row r="13" spans="1:17" ht="15.75" customHeight="1" x14ac:dyDescent="0.45">
      <c r="A13" s="2" t="s">
        <v>77</v>
      </c>
      <c r="B13" s="3">
        <v>1</v>
      </c>
      <c r="C13" s="4">
        <v>0</v>
      </c>
      <c r="D13" s="4">
        <f t="shared" si="0"/>
        <v>0</v>
      </c>
      <c r="E13" s="4">
        <v>0</v>
      </c>
      <c r="F13" s="4">
        <f t="shared" si="1"/>
        <v>0</v>
      </c>
      <c r="G13" s="2" t="s">
        <v>38</v>
      </c>
      <c r="H13" s="2" t="s">
        <v>78</v>
      </c>
      <c r="I13" s="2"/>
      <c r="J13" s="2"/>
      <c r="K13" s="2" t="s">
        <v>22</v>
      </c>
      <c r="L13" s="2" t="s">
        <v>79</v>
      </c>
      <c r="M13" s="3">
        <v>0</v>
      </c>
      <c r="N13" s="5"/>
      <c r="O13" s="3">
        <v>0</v>
      </c>
      <c r="P13" s="3">
        <f t="shared" si="2"/>
        <v>-1</v>
      </c>
      <c r="Q13" s="2" t="s">
        <v>80</v>
      </c>
    </row>
    <row r="14" spans="1:17" ht="15.75" customHeight="1" x14ac:dyDescent="0.45">
      <c r="A14" s="2" t="s">
        <v>81</v>
      </c>
      <c r="B14" s="3">
        <v>1</v>
      </c>
      <c r="C14" s="4">
        <v>0</v>
      </c>
      <c r="D14" s="4">
        <f t="shared" si="0"/>
        <v>0</v>
      </c>
      <c r="E14" s="4">
        <v>0</v>
      </c>
      <c r="F14" s="4">
        <f t="shared" si="1"/>
        <v>0</v>
      </c>
      <c r="G14" s="2" t="s">
        <v>38</v>
      </c>
      <c r="H14" s="2" t="s">
        <v>82</v>
      </c>
      <c r="I14" s="2"/>
      <c r="J14" s="2"/>
      <c r="K14" s="2" t="s">
        <v>22</v>
      </c>
      <c r="L14" s="2" t="s">
        <v>83</v>
      </c>
      <c r="M14" s="3">
        <v>0</v>
      </c>
      <c r="N14" s="5"/>
      <c r="O14" s="3">
        <v>0</v>
      </c>
      <c r="P14" s="3">
        <f t="shared" si="2"/>
        <v>-1</v>
      </c>
      <c r="Q14" s="2" t="s">
        <v>84</v>
      </c>
    </row>
    <row r="15" spans="1:17" ht="15.75" customHeight="1" x14ac:dyDescent="0.45">
      <c r="A15" s="2" t="s">
        <v>85</v>
      </c>
      <c r="B15" s="3">
        <v>1</v>
      </c>
      <c r="C15" s="4">
        <v>1.01</v>
      </c>
      <c r="D15" s="4">
        <f t="shared" si="0"/>
        <v>1.01</v>
      </c>
      <c r="E15" s="4">
        <v>1.01</v>
      </c>
      <c r="F15" s="4">
        <f t="shared" si="1"/>
        <v>1.01</v>
      </c>
      <c r="G15" s="2" t="s">
        <v>86</v>
      </c>
      <c r="H15" s="2" t="s">
        <v>87</v>
      </c>
      <c r="I15" s="2" t="s">
        <v>88</v>
      </c>
      <c r="J15" s="2"/>
      <c r="K15" s="2" t="s">
        <v>47</v>
      </c>
      <c r="L15" s="2" t="s">
        <v>89</v>
      </c>
      <c r="M15" s="3">
        <v>0</v>
      </c>
      <c r="N15" s="5"/>
      <c r="O15" s="3">
        <v>0</v>
      </c>
      <c r="P15" s="3">
        <f t="shared" si="2"/>
        <v>-1</v>
      </c>
      <c r="Q15" s="2" t="s">
        <v>90</v>
      </c>
    </row>
    <row r="16" spans="1:17" ht="15.75" customHeight="1" x14ac:dyDescent="0.45">
      <c r="A16" s="2" t="s">
        <v>91</v>
      </c>
      <c r="B16" s="3">
        <v>1</v>
      </c>
      <c r="C16" s="4">
        <v>0.53</v>
      </c>
      <c r="D16" s="4">
        <f t="shared" si="0"/>
        <v>0.53</v>
      </c>
      <c r="E16" s="4">
        <v>0.53</v>
      </c>
      <c r="F16" s="4">
        <f t="shared" si="1"/>
        <v>0.53</v>
      </c>
      <c r="G16" s="2" t="s">
        <v>92</v>
      </c>
      <c r="H16" s="2" t="s">
        <v>93</v>
      </c>
      <c r="I16" s="2" t="s">
        <v>94</v>
      </c>
      <c r="J16" s="2"/>
      <c r="K16" s="2" t="s">
        <v>47</v>
      </c>
      <c r="L16" s="2" t="s">
        <v>95</v>
      </c>
      <c r="M16" s="3">
        <v>0</v>
      </c>
      <c r="N16" s="5"/>
      <c r="O16" s="3">
        <v>0</v>
      </c>
      <c r="P16" s="3">
        <f t="shared" si="2"/>
        <v>-1</v>
      </c>
      <c r="Q16" s="2" t="s">
        <v>96</v>
      </c>
    </row>
    <row r="17" spans="1:17" ht="15.75" customHeight="1" x14ac:dyDescent="0.45">
      <c r="A17" s="2" t="s">
        <v>97</v>
      </c>
      <c r="B17" s="3">
        <v>1</v>
      </c>
      <c r="C17" s="4">
        <v>0.62</v>
      </c>
      <c r="D17" s="4">
        <f t="shared" si="0"/>
        <v>0.62</v>
      </c>
      <c r="E17" s="4">
        <v>0.62</v>
      </c>
      <c r="F17" s="4">
        <f t="shared" si="1"/>
        <v>0.62</v>
      </c>
      <c r="G17" s="2" t="s">
        <v>38</v>
      </c>
      <c r="H17" s="2" t="s">
        <v>98</v>
      </c>
      <c r="I17" s="2" t="s">
        <v>99</v>
      </c>
      <c r="J17" s="2"/>
      <c r="K17" s="2" t="s">
        <v>47</v>
      </c>
      <c r="L17" s="2" t="s">
        <v>100</v>
      </c>
      <c r="M17" s="3">
        <v>0</v>
      </c>
      <c r="N17" s="5"/>
      <c r="O17" s="3">
        <v>0</v>
      </c>
      <c r="P17" s="3">
        <f t="shared" si="2"/>
        <v>-1</v>
      </c>
      <c r="Q17" s="2" t="s">
        <v>101</v>
      </c>
    </row>
    <row r="18" spans="1:17" ht="15.75" customHeight="1" x14ac:dyDescent="0.45">
      <c r="A18" s="2" t="s">
        <v>102</v>
      </c>
      <c r="B18" s="3">
        <v>1</v>
      </c>
      <c r="C18" s="4">
        <v>0.25</v>
      </c>
      <c r="D18" s="4">
        <f t="shared" si="0"/>
        <v>0.25</v>
      </c>
      <c r="E18" s="4">
        <v>0.25</v>
      </c>
      <c r="F18" s="4">
        <f t="shared" si="1"/>
        <v>0.25</v>
      </c>
      <c r="G18" s="2" t="s">
        <v>103</v>
      </c>
      <c r="H18" s="2" t="s">
        <v>104</v>
      </c>
      <c r="I18" s="2" t="s">
        <v>105</v>
      </c>
      <c r="J18" s="2"/>
      <c r="K18" s="2" t="s">
        <v>47</v>
      </c>
      <c r="L18" s="2" t="s">
        <v>106</v>
      </c>
      <c r="M18" s="3">
        <v>0</v>
      </c>
      <c r="N18" s="5"/>
      <c r="O18" s="3">
        <v>0</v>
      </c>
      <c r="P18" s="3">
        <f t="shared" si="2"/>
        <v>-1</v>
      </c>
      <c r="Q18" s="2" t="s">
        <v>107</v>
      </c>
    </row>
    <row r="19" spans="1:17" ht="15.75" customHeight="1" x14ac:dyDescent="0.45">
      <c r="A19" s="2" t="s">
        <v>108</v>
      </c>
      <c r="B19" s="3">
        <v>1</v>
      </c>
      <c r="C19" s="4">
        <v>0.53</v>
      </c>
      <c r="D19" s="4">
        <f t="shared" si="0"/>
        <v>0.53</v>
      </c>
      <c r="E19" s="4">
        <v>0.53</v>
      </c>
      <c r="F19" s="4">
        <f t="shared" si="1"/>
        <v>0.53</v>
      </c>
      <c r="G19" s="2" t="s">
        <v>103</v>
      </c>
      <c r="H19" s="2" t="s">
        <v>109</v>
      </c>
      <c r="I19" s="2" t="s">
        <v>110</v>
      </c>
      <c r="J19" s="2"/>
      <c r="K19" s="2" t="s">
        <v>47</v>
      </c>
      <c r="L19" s="2" t="s">
        <v>111</v>
      </c>
      <c r="M19" s="3">
        <v>0</v>
      </c>
      <c r="N19" s="5"/>
      <c r="O19" s="3">
        <v>0</v>
      </c>
      <c r="P19" s="3">
        <f t="shared" si="2"/>
        <v>-1</v>
      </c>
      <c r="Q19" s="2" t="s">
        <v>112</v>
      </c>
    </row>
    <row r="20" spans="1:17" ht="15.75" customHeight="1" x14ac:dyDescent="0.45">
      <c r="A20" s="2" t="s">
        <v>113</v>
      </c>
      <c r="B20" s="3">
        <v>3</v>
      </c>
      <c r="C20" s="4">
        <v>0</v>
      </c>
      <c r="D20" s="4">
        <f t="shared" si="0"/>
        <v>0</v>
      </c>
      <c r="E20" s="4">
        <v>0</v>
      </c>
      <c r="F20" s="4">
        <f t="shared" si="1"/>
        <v>0</v>
      </c>
      <c r="G20" s="2" t="s">
        <v>114</v>
      </c>
      <c r="H20" s="2" t="s">
        <v>114</v>
      </c>
      <c r="I20" s="2"/>
      <c r="J20" s="2"/>
      <c r="K20" s="2" t="s">
        <v>22</v>
      </c>
      <c r="L20" s="2" t="s">
        <v>115</v>
      </c>
      <c r="M20" s="3">
        <v>0</v>
      </c>
      <c r="N20" s="5"/>
      <c r="O20" s="3">
        <v>0</v>
      </c>
      <c r="P20" s="3">
        <f t="shared" si="2"/>
        <v>-3</v>
      </c>
      <c r="Q20" s="2" t="s">
        <v>116</v>
      </c>
    </row>
    <row r="21" spans="1:17" ht="15.75" customHeight="1" x14ac:dyDescent="0.45">
      <c r="A21" s="2" t="s">
        <v>117</v>
      </c>
      <c r="B21" s="3">
        <v>7</v>
      </c>
      <c r="C21" s="4">
        <v>0</v>
      </c>
      <c r="D21" s="4">
        <f t="shared" si="0"/>
        <v>0</v>
      </c>
      <c r="E21" s="4">
        <v>0</v>
      </c>
      <c r="F21" s="4">
        <f t="shared" si="1"/>
        <v>0</v>
      </c>
      <c r="G21" s="2" t="s">
        <v>114</v>
      </c>
      <c r="H21" s="2" t="s">
        <v>114</v>
      </c>
      <c r="I21" s="2"/>
      <c r="J21" s="2"/>
      <c r="K21" s="2" t="s">
        <v>22</v>
      </c>
      <c r="L21" s="2" t="s">
        <v>115</v>
      </c>
      <c r="M21" s="3">
        <v>0</v>
      </c>
      <c r="N21" s="5"/>
      <c r="O21" s="3">
        <v>0</v>
      </c>
      <c r="P21" s="3">
        <f t="shared" si="2"/>
        <v>-7</v>
      </c>
      <c r="Q21" s="2" t="s">
        <v>118</v>
      </c>
    </row>
    <row r="22" spans="1:17" ht="15.75" customHeight="1" x14ac:dyDescent="0.45">
      <c r="A22" s="2" t="s">
        <v>119</v>
      </c>
      <c r="B22" s="3">
        <v>3</v>
      </c>
      <c r="C22" s="4">
        <v>0</v>
      </c>
      <c r="D22" s="4">
        <f t="shared" si="0"/>
        <v>0</v>
      </c>
      <c r="E22" s="4">
        <v>0</v>
      </c>
      <c r="F22" s="4">
        <f t="shared" si="1"/>
        <v>0</v>
      </c>
      <c r="G22" s="2" t="s">
        <v>114</v>
      </c>
      <c r="H22" s="2" t="s">
        <v>114</v>
      </c>
      <c r="I22" s="2"/>
      <c r="J22" s="2"/>
      <c r="K22" s="2" t="s">
        <v>22</v>
      </c>
      <c r="L22" s="2" t="s">
        <v>115</v>
      </c>
      <c r="M22" s="3">
        <v>0</v>
      </c>
      <c r="N22" s="5"/>
      <c r="O22" s="3">
        <v>0</v>
      </c>
      <c r="P22" s="3">
        <f t="shared" si="2"/>
        <v>-3</v>
      </c>
      <c r="Q22" s="2" t="s">
        <v>120</v>
      </c>
    </row>
    <row r="23" spans="1:17" ht="15.75" customHeight="1" x14ac:dyDescent="0.45">
      <c r="A23" s="2" t="s">
        <v>121</v>
      </c>
      <c r="B23" s="3">
        <v>2</v>
      </c>
      <c r="C23" s="4">
        <v>0</v>
      </c>
      <c r="D23" s="4">
        <f t="shared" si="0"/>
        <v>0</v>
      </c>
      <c r="E23" s="4">
        <v>0</v>
      </c>
      <c r="F23" s="4">
        <f t="shared" si="1"/>
        <v>0</v>
      </c>
      <c r="G23" s="2" t="s">
        <v>114</v>
      </c>
      <c r="H23" s="2" t="s">
        <v>114</v>
      </c>
      <c r="I23" s="2"/>
      <c r="J23" s="2"/>
      <c r="K23" s="2" t="s">
        <v>22</v>
      </c>
      <c r="L23" s="2" t="s">
        <v>115</v>
      </c>
      <c r="M23" s="3">
        <v>0</v>
      </c>
      <c r="N23" s="5"/>
      <c r="O23" s="3">
        <v>0</v>
      </c>
      <c r="P23" s="3">
        <f t="shared" si="2"/>
        <v>-2</v>
      </c>
      <c r="Q23" s="2" t="s">
        <v>122</v>
      </c>
    </row>
    <row r="24" spans="1:17" ht="15.75" customHeight="1" x14ac:dyDescent="0.45">
      <c r="A24" s="2" t="s">
        <v>123</v>
      </c>
      <c r="B24" s="3">
        <v>2</v>
      </c>
      <c r="C24" s="4">
        <v>0</v>
      </c>
      <c r="D24" s="4">
        <f t="shared" si="0"/>
        <v>0</v>
      </c>
      <c r="E24" s="4">
        <v>0</v>
      </c>
      <c r="F24" s="4">
        <f t="shared" si="1"/>
        <v>0</v>
      </c>
      <c r="G24" s="2" t="s">
        <v>114</v>
      </c>
      <c r="H24" s="2" t="s">
        <v>114</v>
      </c>
      <c r="I24" s="2"/>
      <c r="J24" s="2"/>
      <c r="K24" s="2" t="s">
        <v>22</v>
      </c>
      <c r="L24" s="2" t="s">
        <v>115</v>
      </c>
      <c r="M24" s="3">
        <v>0</v>
      </c>
      <c r="N24" s="5"/>
      <c r="O24" s="3">
        <v>0</v>
      </c>
      <c r="P24" s="3">
        <f t="shared" si="2"/>
        <v>-2</v>
      </c>
      <c r="Q24" s="2" t="s">
        <v>124</v>
      </c>
    </row>
    <row r="25" spans="1:17" ht="15.75" customHeight="1" x14ac:dyDescent="0.45">
      <c r="A25" s="2" t="s">
        <v>125</v>
      </c>
      <c r="B25" s="3">
        <v>4</v>
      </c>
      <c r="C25" s="4">
        <v>0</v>
      </c>
      <c r="D25" s="4">
        <f t="shared" si="0"/>
        <v>0</v>
      </c>
      <c r="E25" s="4">
        <v>0</v>
      </c>
      <c r="F25" s="4">
        <f t="shared" si="1"/>
        <v>0</v>
      </c>
      <c r="G25" s="2" t="s">
        <v>114</v>
      </c>
      <c r="H25" s="2" t="s">
        <v>114</v>
      </c>
      <c r="I25" s="2"/>
      <c r="J25" s="2"/>
      <c r="K25" s="2" t="s">
        <v>22</v>
      </c>
      <c r="L25" s="2" t="s">
        <v>115</v>
      </c>
      <c r="M25" s="3">
        <v>0</v>
      </c>
      <c r="N25" s="5"/>
      <c r="O25" s="3">
        <v>0</v>
      </c>
      <c r="P25" s="3">
        <f t="shared" si="2"/>
        <v>-4</v>
      </c>
      <c r="Q25" s="2" t="s">
        <v>126</v>
      </c>
    </row>
    <row r="26" spans="1:17" ht="15.75" customHeight="1" x14ac:dyDescent="0.45">
      <c r="A26" s="2" t="s">
        <v>127</v>
      </c>
      <c r="B26" s="3">
        <v>10</v>
      </c>
      <c r="C26" s="4">
        <v>0.18</v>
      </c>
      <c r="D26" s="4">
        <f t="shared" si="0"/>
        <v>1.7999999999999998</v>
      </c>
      <c r="E26" s="4">
        <v>0.18</v>
      </c>
      <c r="F26" s="4">
        <f t="shared" si="1"/>
        <v>1.7999999999999998</v>
      </c>
      <c r="G26" s="2" t="s">
        <v>128</v>
      </c>
      <c r="H26" s="2" t="s">
        <v>129</v>
      </c>
      <c r="I26" s="2" t="s">
        <v>130</v>
      </c>
      <c r="J26" s="2"/>
      <c r="K26" s="2" t="s">
        <v>47</v>
      </c>
      <c r="L26" s="2" t="s">
        <v>131</v>
      </c>
      <c r="M26" s="3">
        <v>0</v>
      </c>
      <c r="N26" s="5"/>
      <c r="O26" s="3">
        <v>0</v>
      </c>
      <c r="P26" s="3">
        <f t="shared" si="2"/>
        <v>-10</v>
      </c>
      <c r="Q26" s="2" t="s">
        <v>132</v>
      </c>
    </row>
    <row r="27" spans="1:17" ht="15.75" customHeight="1" x14ac:dyDescent="0.45">
      <c r="A27" s="2" t="s">
        <v>133</v>
      </c>
      <c r="B27" s="3">
        <v>3</v>
      </c>
      <c r="C27" s="4">
        <v>0.12</v>
      </c>
      <c r="D27" s="4">
        <f t="shared" si="0"/>
        <v>0.36</v>
      </c>
      <c r="E27" s="4">
        <v>0.12</v>
      </c>
      <c r="F27" s="4">
        <f t="shared" si="1"/>
        <v>0.36</v>
      </c>
      <c r="G27" s="2" t="s">
        <v>38</v>
      </c>
      <c r="H27" s="2" t="s">
        <v>134</v>
      </c>
      <c r="I27" s="2" t="s">
        <v>135</v>
      </c>
      <c r="J27" s="2"/>
      <c r="K27" s="2" t="s">
        <v>47</v>
      </c>
      <c r="L27" s="2" t="s">
        <v>136</v>
      </c>
      <c r="M27" s="3">
        <v>0</v>
      </c>
      <c r="N27" s="5"/>
      <c r="O27" s="3">
        <v>0</v>
      </c>
      <c r="P27" s="3">
        <f t="shared" si="2"/>
        <v>-3</v>
      </c>
      <c r="Q27" s="2" t="s">
        <v>137</v>
      </c>
    </row>
    <row r="28" spans="1:17" ht="15.75" customHeight="1" x14ac:dyDescent="0.45"/>
    <row r="29" spans="1:17" ht="15.75" customHeight="1" x14ac:dyDescent="0.45">
      <c r="A29" s="2" t="s">
        <v>138</v>
      </c>
      <c r="B29" s="3">
        <v>1</v>
      </c>
      <c r="C29" s="4">
        <v>0.17</v>
      </c>
      <c r="D29" s="4">
        <f>B29*C29</f>
        <v>0.17</v>
      </c>
      <c r="E29" s="4">
        <v>0.17</v>
      </c>
      <c r="F29" s="4">
        <f>B29*E29</f>
        <v>0.17</v>
      </c>
      <c r="G29" s="2" t="s">
        <v>139</v>
      </c>
      <c r="H29" s="2" t="s">
        <v>140</v>
      </c>
      <c r="I29" s="2" t="s">
        <v>141</v>
      </c>
      <c r="J29" s="2" t="s">
        <v>142</v>
      </c>
      <c r="K29" s="2" t="s">
        <v>47</v>
      </c>
      <c r="L29" s="2" t="s">
        <v>143</v>
      </c>
      <c r="M29" s="3"/>
      <c r="N29" s="5"/>
      <c r="O29" s="3"/>
      <c r="P29" s="3"/>
      <c r="Q29" s="2" t="s">
        <v>144</v>
      </c>
    </row>
    <row r="30" spans="1:17" ht="15.75" customHeight="1" x14ac:dyDescent="0.45">
      <c r="A30" s="2" t="s">
        <v>145</v>
      </c>
      <c r="B30" s="3">
        <v>1</v>
      </c>
      <c r="C30" s="4">
        <v>0.53</v>
      </c>
      <c r="D30" s="4">
        <f>B30*C30</f>
        <v>0.53</v>
      </c>
      <c r="E30" s="4">
        <v>0.53</v>
      </c>
      <c r="F30" s="4">
        <f>B30*E30</f>
        <v>0.53</v>
      </c>
      <c r="G30" s="2" t="s">
        <v>92</v>
      </c>
      <c r="H30" s="2" t="s">
        <v>146</v>
      </c>
      <c r="I30" s="2" t="s">
        <v>147</v>
      </c>
      <c r="J30" s="2" t="s">
        <v>148</v>
      </c>
      <c r="K30" s="2" t="s">
        <v>47</v>
      </c>
      <c r="L30" s="2" t="s">
        <v>149</v>
      </c>
      <c r="M30" s="3"/>
      <c r="N30" s="5"/>
      <c r="O30" s="3"/>
      <c r="P30" s="3"/>
      <c r="Q30" s="2" t="s">
        <v>150</v>
      </c>
    </row>
    <row r="31" spans="1:17" ht="15.75" customHeight="1" x14ac:dyDescent="0.45">
      <c r="A31" s="2" t="s">
        <v>151</v>
      </c>
      <c r="B31" s="3">
        <v>30</v>
      </c>
      <c r="C31" s="4">
        <v>0</v>
      </c>
      <c r="D31" s="4">
        <f>B31*C31</f>
        <v>0</v>
      </c>
      <c r="E31" s="4">
        <v>0</v>
      </c>
      <c r="F31" s="4">
        <f>B31*E31</f>
        <v>0</v>
      </c>
      <c r="G31" s="2" t="s">
        <v>114</v>
      </c>
      <c r="H31" s="2" t="s">
        <v>114</v>
      </c>
      <c r="I31" s="2"/>
      <c r="J31" s="2"/>
      <c r="K31" s="2" t="s">
        <v>152</v>
      </c>
      <c r="L31" s="2" t="s">
        <v>55</v>
      </c>
      <c r="M31" s="3">
        <v>0</v>
      </c>
      <c r="N31" s="5"/>
      <c r="O31" s="3">
        <v>0</v>
      </c>
      <c r="P31" s="3">
        <f>O31-B31</f>
        <v>-30</v>
      </c>
      <c r="Q31" s="2" t="s">
        <v>153</v>
      </c>
    </row>
    <row r="32" spans="1:17" ht="15.75" customHeight="1" x14ac:dyDescent="0.45">
      <c r="A32" s="6" t="s">
        <v>154</v>
      </c>
      <c r="D32" s="7">
        <f>SUM(D3:D31)</f>
        <v>14.749999999999996</v>
      </c>
      <c r="F32" s="7">
        <f>SUM(F3:F31)</f>
        <v>14.749999999999996</v>
      </c>
    </row>
  </sheetData>
  <mergeCells count="1">
    <mergeCell ref="A1:Q1"/>
  </mergeCells>
  <pageMargins left="0.75" right="0.75" top="1" bottom="1" header="0.5" footer="0.5"/>
  <pageSetup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 Jomon Joseph</cp:lastModifiedBy>
  <cp:lastPrinted>2026-03-29T07:34:00Z</cp:lastPrinted>
  <dcterms:created xsi:type="dcterms:W3CDTF">2026-03-29T00:24:07Z</dcterms:created>
  <dcterms:modified xsi:type="dcterms:W3CDTF">2026-03-29T07:34:00Z</dcterms:modified>
</cp:coreProperties>
</file>