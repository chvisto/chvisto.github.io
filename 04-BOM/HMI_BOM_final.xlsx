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<sst xmlns="http://schemas.openxmlformats.org/spreadsheetml/2006/main" count="208" uniqueCount="160">
  <si>
    <t xml:space="preserve">Bill of Materials - HMI Subsystem</t>
  </si>
  <si>
    <t xml:space="preserve">Part Name/Description</t>
  </si>
  <si>
    <t xml:space="preserve">Unit Quantity</t>
  </si>
  <si>
    <t xml:space="preserve">Unit Prototype Cost</t>
  </si>
  <si>
    <t xml:space="preserve">Total Prototype Cost</t>
  </si>
  <si>
    <t xml:space="preserve">Unit Production Cost</t>
  </si>
  <si>
    <t xml:space="preserve">Total Production Cost</t>
  </si>
  <si>
    <t xml:space="preserve">Manufacturer</t>
  </si>
  <si>
    <t xml:space="preserve">Manufacturer Part #</t>
  </si>
  <si>
    <t xml:space="preserve">Vendor Link</t>
  </si>
  <si>
    <t xml:space="preserve">Datasheet Link</t>
  </si>
  <si>
    <t xml:space="preserve">Supplier</t>
  </si>
  <si>
    <t xml:space="preserve">Supplier Part #</t>
  </si>
  <si>
    <t xml:space="preserve"># Ordered</t>
  </si>
  <si>
    <t xml:space="preserve">Date Ordered</t>
  </si>
  <si>
    <t xml:space="preserve"># Received</t>
  </si>
  <si>
    <t xml:space="preserve">Surplus</t>
  </si>
  <si>
    <t xml:space="preserve">Schematic Reference Designators</t>
  </si>
  <si>
    <t xml:space="preserve">ESP32-S3-WROOM-1 Module, SMD, 4MB Flash</t>
  </si>
  <si>
    <t xml:space="preserve">Espressif</t>
  </si>
  <si>
    <t xml:space="preserve">ESP32-S3-WROOM-1-N4</t>
  </si>
  <si>
    <t xml:space="preserve">https://www.digikey.com/en/products/detail/espressif-systems/ESP32-S3-WROOM-1-N4CT/15297745</t>
  </si>
  <si>
    <t xml:space="preserve">Peralta Labs</t>
  </si>
  <si>
    <t xml:space="preserve">1965-ESP32-S3-WROOM-1-N4CT-ND</t>
  </si>
  <si>
    <t xml:space="preserve">E1</t>
  </si>
  <si>
    <t xml:space="preserve">Buck Switching Regulator, 3.3V Fixed, 3A, TO-263-5</t>
  </si>
  <si>
    <t xml:space="preserve">Texas Instruments</t>
  </si>
  <si>
    <t xml:space="preserve">LM2596S-3.3/NOPB</t>
  </si>
  <si>
    <t xml:space="preserve">https://www.digikey.com/en/products/detail/texas-instruments/LM2596S-3-3-NOPB/363704</t>
  </si>
  <si>
    <t xml:space="preserve">LM2575T-3.3GOS-ND</t>
  </si>
  <si>
    <t xml:space="preserve">U1</t>
  </si>
  <si>
    <t xml:space="preserve">USB Micro B Receptacle, 5-Pin, SMT Right Angle/THT</t>
  </si>
  <si>
    <t xml:space="preserve">Amphenol</t>
  </si>
  <si>
    <t xml:space="preserve">UX60SC-MB-5S8</t>
  </si>
  <si>
    <t xml:space="preserve">https://www.digikey.com/en/products/detail/amphenol-cs-fci/670-2675-1-ND/2370786</t>
  </si>
  <si>
    <t xml:space="preserve">670-2675-1-ND</t>
  </si>
  <si>
    <t xml:space="preserve">J1</t>
  </si>
  <si>
    <t xml:space="preserve">Connector Header, Through Hole, 8 Position, 2.54mm</t>
  </si>
  <si>
    <t xml:space="preserve">Wurth Elektronik</t>
  </si>
  <si>
    <t xml:space="preserve">61300811121</t>
  </si>
  <si>
    <t xml:space="preserve">https://www.digikey.com/en/products/detail/wurth-elektronik/61300811121/4846907</t>
  </si>
  <si>
    <t xml:space="preserve">609-5123-ND</t>
  </si>
  <si>
    <t xml:space="preserve">J3, J4, J5, J6, J7</t>
  </si>
  <si>
    <t xml:space="preserve">DC Barrel Jack with Switch, 2.1mm ID, PCB Mount</t>
  </si>
  <si>
    <t xml:space="preserve">CUI Devices</t>
  </si>
  <si>
    <t xml:space="preserve">PJ-002BH</t>
  </si>
  <si>
    <t xml:space="preserve">https://www.digikey.com/en/products/detail/cui-devices/PJ-002BH/408447</t>
  </si>
  <si>
    <t xml:space="preserve">DigiKey</t>
  </si>
  <si>
    <t xml:space="preserve">CP-002BH-ND</t>
  </si>
  <si>
    <t xml:space="preserve">J2</t>
  </si>
  <si>
    <t xml:space="preserve">0.96" I2C OLED Display Module, 128x64, SSD1306</t>
  </si>
  <si>
    <t xml:space="preserve">Songhe</t>
  </si>
  <si>
    <t xml:space="preserve">B085WCRS7C</t>
  </si>
  <si>
    <t xml:space="preserve">https://www.amazon.com/dp/B085WCRS7C</t>
  </si>
  <si>
    <t xml:space="preserve">Class</t>
  </si>
  <si>
    <t xml:space="preserve">-</t>
  </si>
  <si>
    <t xml:space="preserve">LCD1</t>
  </si>
  <si>
    <t xml:space="preserve">Schottky Rectifier Diode, 30V 5A, DO-201AD (1N5824 sub)</t>
  </si>
  <si>
    <t xml:space="preserve">Vishay</t>
  </si>
  <si>
    <t xml:space="preserve">SB530-E3/54</t>
  </si>
  <si>
    <t xml:space="preserve">https://www.digikey.com/en/products/detail/vishay-general-semiconductor-diodes-division/SB530-E3-54/420422</t>
  </si>
  <si>
    <t xml:space="preserve">SB530-E3/54GICT-ND</t>
  </si>
  <si>
    <t xml:space="preserve">D1</t>
  </si>
  <si>
    <t xml:space="preserve">ESD Protection TVS Diode, 5V, SOD-923 (x2)</t>
  </si>
  <si>
    <t xml:space="preserve">onsemi</t>
  </si>
  <si>
    <t xml:space="preserve">ESD9B5.0ST5G</t>
  </si>
  <si>
    <t xml:space="preserve">https://www.digikey.com/en/products/detail/onsemi/ESD9B5-0ST5G/1646449</t>
  </si>
  <si>
    <t xml:space="preserve">ESD9B5.0ST5GOSCT-ND</t>
  </si>
  <si>
    <t xml:space="preserve">D6, D7</t>
  </si>
  <si>
    <t xml:space="preserve">LED Blue, T-1 3/4 (5mm), 20mA</t>
  </si>
  <si>
    <t xml:space="preserve">151051BS04000</t>
  </si>
  <si>
    <t xml:space="preserve">https://www.digikey.com/en/products/detail/wurth-elektronik/151051BS04000/4489940</t>
  </si>
  <si>
    <t xml:space="preserve">732-5013-ND</t>
  </si>
  <si>
    <t xml:space="preserve">D2</t>
  </si>
  <si>
    <t xml:space="preserve">LED Green, T-1 3/4 (5mm), 20mA</t>
  </si>
  <si>
    <t xml:space="preserve">151051VS04000</t>
  </si>
  <si>
    <t xml:space="preserve">https://www.digikey.com/en/products/detail/wurth-elektronik/151051VS04000/4489944</t>
  </si>
  <si>
    <t xml:space="preserve">732-5015-ND</t>
  </si>
  <si>
    <t xml:space="preserve">D3</t>
  </si>
  <si>
    <t xml:space="preserve">LED White, T-1 3/4 (5mm), 20mA</t>
  </si>
  <si>
    <t xml:space="preserve">151051WS04000</t>
  </si>
  <si>
    <t xml:space="preserve">https://www.digikey.com/en/products/detail/wurth-elektronik/151051WS04000/4489952</t>
  </si>
  <si>
    <t xml:space="preserve">732-5016-ND</t>
  </si>
  <si>
    <t xml:space="preserve">D4</t>
  </si>
  <si>
    <t xml:space="preserve">LED Red, T-1 3/4 (5mm), 20mA</t>
  </si>
  <si>
    <t xml:space="preserve">151051RS04000</t>
  </si>
  <si>
    <t xml:space="preserve">https://www.digikey.com/en/products/detail/wurth-elektronik/151051RS04000/4489942</t>
  </si>
  <si>
    <t xml:space="preserve">732-5011-ND</t>
  </si>
  <si>
    <t xml:space="preserve">D5</t>
  </si>
  <si>
    <t xml:space="preserve">Inductor, 33uH, 2.05A, Radial (Bourns RLB9012)</t>
  </si>
  <si>
    <t xml:space="preserve">Bourns</t>
  </si>
  <si>
    <t xml:space="preserve">RLB9012-330KL</t>
  </si>
  <si>
    <t xml:space="preserve">https://www.digikey.com/en/products/detail/bourns-inc/RLB9012-330KL/705790</t>
  </si>
  <si>
    <t xml:space="preserve">RLB9012-330KL-ND</t>
  </si>
  <si>
    <t xml:space="preserve">L1</t>
  </si>
  <si>
    <t xml:space="preserve">Fuse, 1A Fast-Blow, 5x20mm Cylindrical</t>
  </si>
  <si>
    <t xml:space="preserve">Littelfuse</t>
  </si>
  <si>
    <t xml:space="preserve">0215001.MXP</t>
  </si>
  <si>
    <t xml:space="preserve">https://www.digikey.com/en/products/detail/littelfuse-inc/0215001-MXP/777524</t>
  </si>
  <si>
    <t xml:space="preserve">F1001-ND</t>
  </si>
  <si>
    <t xml:space="preserve">F1</t>
  </si>
  <si>
    <t xml:space="preserve">Fuse Holder, 5x20mm, PCB Mount</t>
  </si>
  <si>
    <t xml:space="preserve">Keystone</t>
  </si>
  <si>
    <t xml:space="preserve">3544-2</t>
  </si>
  <si>
    <t xml:space="preserve">https://www.digikey.com/en/products/detail/keystone-electronics/3544-2/316039</t>
  </si>
  <si>
    <t xml:space="preserve">36-3544-2-ND</t>
  </si>
  <si>
    <t xml:space="preserve">F1 holder</t>
  </si>
  <si>
    <t xml:space="preserve">Electrolytic Capacitor, 100uF 16V, Radial</t>
  </si>
  <si>
    <t xml:space="preserve">Panasonic</t>
  </si>
  <si>
    <t xml:space="preserve">ECA-1CM101</t>
  </si>
  <si>
    <t xml:space="preserve">https://www.digikey.com/en/products/detail/panasonic-electronic-components/ECA-1CM101/244997</t>
  </si>
  <si>
    <t xml:space="preserve">P5138-ND</t>
  </si>
  <si>
    <t xml:space="preserve">C1</t>
  </si>
  <si>
    <t xml:space="preserve">Electrolytic Capacitor, 220uF 16V, Radial</t>
  </si>
  <si>
    <t xml:space="preserve">ECA-1CM221</t>
  </si>
  <si>
    <t xml:space="preserve">https://www.digikey.com/en/products/detail/panasonic-electronic-components/ECA-1CM221/245002</t>
  </si>
  <si>
    <t xml:space="preserve">P5155-ND</t>
  </si>
  <si>
    <t xml:space="preserve">C2</t>
  </si>
  <si>
    <t xml:space="preserve">Ceramic Capacitor, 0.1uF 50V, Through Hole (x3)</t>
  </si>
  <si>
    <t xml:space="preserve">Various</t>
  </si>
  <si>
    <t xml:space="preserve">Generic</t>
  </si>
  <si>
    <t xml:space="preserve">Lab Reels</t>
  </si>
  <si>
    <t xml:space="preserve">C3, C4, C5</t>
  </si>
  <si>
    <t xml:space="preserve">Resistor, 10k, 2.5mW, Through Hole (x7)</t>
  </si>
  <si>
    <t xml:space="preserve">R1, R2, R3, R4, R5, R6, R7</t>
  </si>
  <si>
    <t xml:space="preserve">Resistor, 10k, Through Hole (x3)</t>
  </si>
  <si>
    <t xml:space="preserve">R10, R11, R16</t>
  </si>
  <si>
    <t xml:space="preserve">Resistor, 27 Ohm, Through Hole (x2)</t>
  </si>
  <si>
    <t xml:space="preserve">R8, R9</t>
  </si>
  <si>
    <t xml:space="preserve">Resistor, 470 Ohm, Through Hole (x2)</t>
  </si>
  <si>
    <t xml:space="preserve">R12, R13</t>
  </si>
  <si>
    <t xml:space="preserve">Resistor, 100 Ohm, Through Hole (x4) — LED current limiting</t>
  </si>
  <si>
    <t xml:space="preserve">R14, R15, R17, R18</t>
  </si>
  <si>
    <t xml:space="preserve">Tactile Push Button Switch, SPST, Through Hole (x10)</t>
  </si>
  <si>
    <t xml:space="preserve">E-Switch</t>
  </si>
  <si>
    <t xml:space="preserve">TL1105SPF160Q</t>
  </si>
  <si>
    <t xml:space="preserve">https://www.digikey.com/en/products/detail/e-switch/TL1105SPF160Q/271573</t>
  </si>
  <si>
    <t xml:space="preserve">EG2506-ND</t>
  </si>
  <si>
    <t xml:space="preserve">SW1, SW2, SW3, SW4, SW5, SW6, SW7, SW8, SW9, SW10</t>
  </si>
  <si>
    <t xml:space="preserve">2-Pin Jumper, 2.54mm (x3)</t>
  </si>
  <si>
    <t xml:space="preserve">61000211121</t>
  </si>
  <si>
    <t xml:space="preserve">https://www.digikey.com/en/products/detail/wurth-elektronik/61000211121/4846851</t>
  </si>
  <si>
    <t xml:space="preserve">732-2860-ND</t>
  </si>
  <si>
    <t xml:space="preserve">JP1, JP2, JP3</t>
  </si>
  <si>
    <t xml:space="preserve">Schottky Diode, 30V 200mA, SOD-323F (BAT54J)</t>
  </si>
  <si>
    <t xml:space="preserve">Nexperia</t>
  </si>
  <si>
    <t xml:space="preserve">BAT54J,115</t>
  </si>
  <si>
    <t xml:space="preserve">https://www.digikey.com/en/products/detail/nxp-semiconductors/BAT54J,115/2531305</t>
  </si>
  <si>
    <t xml:space="preserve">https://assets.nexperia.com/documents/data-sheet/BAT54_SER.pdf</t>
  </si>
  <si>
    <t xml:space="preserve">568-BAT54J,115CT-ND</t>
  </si>
  <si>
    <t xml:space="preserve">D8</t>
  </si>
  <si>
    <t xml:space="preserve">Fuse, 500mA Fast-Blow, 5x20mm Glass Cartridge</t>
  </si>
  <si>
    <t xml:space="preserve">0217.500MXP</t>
  </si>
  <si>
    <t xml:space="preserve">https://www.digikey.com/en/products/detail/littelfuse-inc/0217-500MXP/777536</t>
  </si>
  <si>
    <t xml:space="preserve">https://www.littelfuse.com/~/media/electronics/datasheets/fuses/littelfuse_fuse_217_datasheet.pdf.pdf</t>
  </si>
  <si>
    <t xml:space="preserve">F4744-ND</t>
  </si>
  <si>
    <t xml:space="preserve">F2</t>
  </si>
  <si>
    <t xml:space="preserve">Test Point, Small PCB (x30)</t>
  </si>
  <si>
    <t xml:space="preserve">TP1-TP30</t>
  </si>
  <si>
    <t xml:space="preserve">TOTALS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</si>
</sst>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.00"/>
    <numFmt numFmtId="167" formatCode="m/d/yyyy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name val="Cambria"/>
      <family val="0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5"/>
    <col collapsed="false" customWidth="true" hidden="false" outlineLevel="0" max="3" min="3" style="0" width="21"/>
    <col collapsed="false" customWidth="true" hidden="false" outlineLevel="0" max="5" min="4" style="0" width="22"/>
    <col collapsed="false" customWidth="true" hidden="false" outlineLevel="0" max="6" min="6" style="0" width="23"/>
    <col collapsed="false" customWidth="true" hidden="false" outlineLevel="0" max="7" min="7" style="0" width="19"/>
    <col collapsed="false" customWidth="true" hidden="false" outlineLevel="0" max="10" min="8" style="0" width="21"/>
    <col collapsed="false" customWidth="true" hidden="false" outlineLevel="0" max="11" min="11" style="0" width="14"/>
    <col collapsed="false" customWidth="true" hidden="false" outlineLevel="0" max="12" min="12" style="0" width="31"/>
    <col collapsed="false" customWidth="true" hidden="false" outlineLevel="0" max="13" min="13" style="0" width="11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50"/>
  </cols>
  <sheetData>
    <row r="1" customFormat="false" ht="29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.7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.75" hidden="false" customHeight="false" outlineLevel="0" collapsed="false">
      <c r="A3" s="3" t="s">
        <v>18</v>
      </c>
      <c r="B3" s="4" t="n">
        <v>1</v>
      </c>
      <c r="C3" s="5" t="n">
        <v>0</v>
      </c>
      <c r="D3" s="5" t="n">
        <f aca="false">B3*C3</f>
        <v>0</v>
      </c>
      <c r="E3" s="5" t="n">
        <v>0</v>
      </c>
      <c r="F3" s="5" t="n">
        <f aca="false">B3*E3</f>
        <v>0</v>
      </c>
      <c r="G3" s="3" t="s">
        <v>19</v>
      </c>
      <c r="H3" s="3" t="s">
        <v>20</v>
      </c>
      <c r="I3" s="3" t="s">
        <v>21</v>
      </c>
      <c r="J3" s="3"/>
      <c r="K3" s="3" t="s">
        <v>22</v>
      </c>
      <c r="L3" s="3" t="s">
        <v>23</v>
      </c>
      <c r="M3" s="3" t="n">
        <v>0</v>
      </c>
      <c r="N3" s="6"/>
      <c r="O3" s="3" t="n">
        <v>0</v>
      </c>
      <c r="P3" s="4" t="n">
        <f aca="false">O3-B3</f>
        <v>-1</v>
      </c>
      <c r="Q3" s="3" t="s">
        <v>24</v>
      </c>
    </row>
    <row r="4" customFormat="false" ht="15.75" hidden="false" customHeight="false" outlineLevel="0" collapsed="false">
      <c r="A4" s="3" t="s">
        <v>25</v>
      </c>
      <c r="B4" s="4" t="n">
        <v>1</v>
      </c>
      <c r="C4" s="5" t="n">
        <v>0</v>
      </c>
      <c r="D4" s="5" t="n">
        <f aca="false">B4*C4</f>
        <v>0</v>
      </c>
      <c r="E4" s="5" t="n">
        <v>0</v>
      </c>
      <c r="F4" s="5" t="n">
        <f aca="false">B4*E4</f>
        <v>0</v>
      </c>
      <c r="G4" s="3" t="s">
        <v>26</v>
      </c>
      <c r="H4" s="3" t="s">
        <v>27</v>
      </c>
      <c r="I4" s="3" t="s">
        <v>28</v>
      </c>
      <c r="J4" s="3"/>
      <c r="K4" s="3" t="s">
        <v>22</v>
      </c>
      <c r="L4" s="3" t="s">
        <v>29</v>
      </c>
      <c r="M4" s="3" t="n">
        <v>0</v>
      </c>
      <c r="N4" s="6"/>
      <c r="O4" s="3" t="n">
        <v>0</v>
      </c>
      <c r="P4" s="4" t="n">
        <f aca="false">O4-B4</f>
        <v>-1</v>
      </c>
      <c r="Q4" s="3" t="s">
        <v>30</v>
      </c>
    </row>
    <row r="5" customFormat="false" ht="15.75" hidden="false" customHeight="false" outlineLevel="0" collapsed="false">
      <c r="A5" s="3" t="s">
        <v>31</v>
      </c>
      <c r="B5" s="4" t="n">
        <v>1</v>
      </c>
      <c r="C5" s="5" t="n">
        <v>0</v>
      </c>
      <c r="D5" s="5" t="n">
        <f aca="false">B5*C5</f>
        <v>0</v>
      </c>
      <c r="E5" s="5" t="n">
        <v>0</v>
      </c>
      <c r="F5" s="5" t="n">
        <f aca="false">B5*E5</f>
        <v>0</v>
      </c>
      <c r="G5" s="3" t="s">
        <v>32</v>
      </c>
      <c r="H5" s="3" t="s">
        <v>33</v>
      </c>
      <c r="I5" s="3" t="s">
        <v>34</v>
      </c>
      <c r="J5" s="3"/>
      <c r="K5" s="3" t="s">
        <v>22</v>
      </c>
      <c r="L5" s="3" t="s">
        <v>35</v>
      </c>
      <c r="M5" s="3" t="n">
        <v>0</v>
      </c>
      <c r="N5" s="6"/>
      <c r="O5" s="3" t="n">
        <v>0</v>
      </c>
      <c r="P5" s="4" t="n">
        <f aca="false">O5-B5</f>
        <v>-1</v>
      </c>
      <c r="Q5" s="3" t="s">
        <v>36</v>
      </c>
    </row>
    <row r="6" customFormat="false" ht="15.75" hidden="false" customHeight="false" outlineLevel="0" collapsed="false">
      <c r="A6" s="3" t="s">
        <v>37</v>
      </c>
      <c r="B6" s="4" t="n">
        <v>5</v>
      </c>
      <c r="C6" s="5" t="n">
        <v>0</v>
      </c>
      <c r="D6" s="5" t="n">
        <f aca="false">B6*C6</f>
        <v>0</v>
      </c>
      <c r="E6" s="5" t="n">
        <v>0</v>
      </c>
      <c r="F6" s="5" t="n">
        <f aca="false">B6*E6</f>
        <v>0</v>
      </c>
      <c r="G6" s="3" t="s">
        <v>38</v>
      </c>
      <c r="H6" s="3" t="s">
        <v>39</v>
      </c>
      <c r="I6" s="3" t="s">
        <v>40</v>
      </c>
      <c r="J6" s="3"/>
      <c r="K6" s="3" t="s">
        <v>22</v>
      </c>
      <c r="L6" s="3" t="s">
        <v>41</v>
      </c>
      <c r="M6" s="3" t="n">
        <v>0</v>
      </c>
      <c r="N6" s="6"/>
      <c r="O6" s="7" t="n">
        <v>0</v>
      </c>
      <c r="P6" s="4" t="n">
        <f aca="false">O6-B6</f>
        <v>-5</v>
      </c>
      <c r="Q6" s="3" t="s">
        <v>42</v>
      </c>
    </row>
    <row r="7" customFormat="false" ht="15.75" hidden="false" customHeight="false" outlineLevel="0" collapsed="false">
      <c r="A7" s="3" t="s">
        <v>43</v>
      </c>
      <c r="B7" s="4" t="n">
        <v>1</v>
      </c>
      <c r="C7" s="5" t="n">
        <v>1.1</v>
      </c>
      <c r="D7" s="5" t="n">
        <f aca="false">B7*C7</f>
        <v>1.1</v>
      </c>
      <c r="E7" s="5" t="n">
        <v>1.1</v>
      </c>
      <c r="F7" s="5" t="n">
        <f aca="false">B7*E7</f>
        <v>1.1</v>
      </c>
      <c r="G7" s="3" t="s">
        <v>44</v>
      </c>
      <c r="H7" s="3" t="s">
        <v>45</v>
      </c>
      <c r="I7" s="3" t="s">
        <v>46</v>
      </c>
      <c r="J7" s="3"/>
      <c r="K7" s="3" t="s">
        <v>47</v>
      </c>
      <c r="L7" s="3" t="s">
        <v>48</v>
      </c>
      <c r="M7" s="3" t="n">
        <v>0</v>
      </c>
      <c r="N7" s="6"/>
      <c r="O7" s="7" t="n">
        <v>0</v>
      </c>
      <c r="P7" s="4" t="n">
        <f aca="false">O7-B7</f>
        <v>-1</v>
      </c>
      <c r="Q7" s="3" t="s">
        <v>49</v>
      </c>
    </row>
    <row r="8" customFormat="false" ht="15.75" hidden="false" customHeight="false" outlineLevel="0" collapsed="false">
      <c r="A8" s="3" t="s">
        <v>50</v>
      </c>
      <c r="B8" s="4" t="n">
        <v>1</v>
      </c>
      <c r="C8" s="5" t="n">
        <v>0</v>
      </c>
      <c r="D8" s="5" t="n">
        <f aca="false">B8*C8</f>
        <v>0</v>
      </c>
      <c r="E8" s="5" t="n">
        <v>0</v>
      </c>
      <c r="F8" s="5" t="n">
        <f aca="false">B8*E8</f>
        <v>0</v>
      </c>
      <c r="G8" s="3" t="s">
        <v>51</v>
      </c>
      <c r="H8" s="3" t="s">
        <v>52</v>
      </c>
      <c r="I8" s="3" t="s">
        <v>53</v>
      </c>
      <c r="J8" s="3"/>
      <c r="K8" s="3" t="s">
        <v>54</v>
      </c>
      <c r="L8" s="3" t="s">
        <v>55</v>
      </c>
      <c r="M8" s="3" t="n">
        <v>0</v>
      </c>
      <c r="N8" s="6"/>
      <c r="O8" s="3" t="n">
        <v>0</v>
      </c>
      <c r="P8" s="4" t="n">
        <f aca="false">O8-B8</f>
        <v>-1</v>
      </c>
      <c r="Q8" s="3" t="s">
        <v>56</v>
      </c>
    </row>
    <row r="9" customFormat="false" ht="15.75" hidden="false" customHeight="false" outlineLevel="0" collapsed="false">
      <c r="A9" s="3" t="s">
        <v>57</v>
      </c>
      <c r="B9" s="4" t="n">
        <v>1</v>
      </c>
      <c r="C9" s="5" t="n">
        <v>0.62</v>
      </c>
      <c r="D9" s="5" t="n">
        <f aca="false">B9*C9</f>
        <v>0.62</v>
      </c>
      <c r="E9" s="5" t="n">
        <v>0.62</v>
      </c>
      <c r="F9" s="5" t="n">
        <f aca="false">B9*E9</f>
        <v>0.62</v>
      </c>
      <c r="G9" s="3" t="s">
        <v>58</v>
      </c>
      <c r="H9" s="3" t="s">
        <v>59</v>
      </c>
      <c r="I9" s="3" t="s">
        <v>60</v>
      </c>
      <c r="J9" s="3"/>
      <c r="K9" s="3" t="s">
        <v>47</v>
      </c>
      <c r="L9" s="3" t="s">
        <v>61</v>
      </c>
      <c r="M9" s="3" t="n">
        <v>0</v>
      </c>
      <c r="N9" s="6"/>
      <c r="O9" s="3" t="n">
        <v>0</v>
      </c>
      <c r="P9" s="4" t="n">
        <f aca="false">O9-B9</f>
        <v>-1</v>
      </c>
      <c r="Q9" s="3" t="s">
        <v>62</v>
      </c>
    </row>
    <row r="10" customFormat="false" ht="15.75" hidden="false" customHeight="false" outlineLevel="0" collapsed="false">
      <c r="A10" s="7" t="s">
        <v>63</v>
      </c>
      <c r="B10" s="4" t="n">
        <v>2</v>
      </c>
      <c r="C10" s="5" t="n">
        <v>0.17</v>
      </c>
      <c r="D10" s="5" t="n">
        <f aca="false">B10*C10</f>
        <v>0.34</v>
      </c>
      <c r="E10" s="5" t="n">
        <v>0.17</v>
      </c>
      <c r="F10" s="5" t="n">
        <f aca="false">B10*E10</f>
        <v>0.34</v>
      </c>
      <c r="G10" s="7" t="s">
        <v>64</v>
      </c>
      <c r="H10" s="7" t="s">
        <v>65</v>
      </c>
      <c r="I10" s="7" t="s">
        <v>66</v>
      </c>
      <c r="J10" s="7"/>
      <c r="K10" s="7" t="s">
        <v>47</v>
      </c>
      <c r="L10" s="7" t="s">
        <v>67</v>
      </c>
      <c r="M10" s="7" t="n">
        <v>0</v>
      </c>
      <c r="N10" s="6"/>
      <c r="O10" s="7" t="n">
        <v>0</v>
      </c>
      <c r="P10" s="4" t="n">
        <f aca="false">O10-B10</f>
        <v>-2</v>
      </c>
      <c r="Q10" s="7" t="s">
        <v>68</v>
      </c>
    </row>
    <row r="11" customFormat="false" ht="15.75" hidden="false" customHeight="false" outlineLevel="0" collapsed="false">
      <c r="A11" s="7" t="s">
        <v>69</v>
      </c>
      <c r="B11" s="4" t="n">
        <v>1</v>
      </c>
      <c r="C11" s="5" t="n">
        <v>0</v>
      </c>
      <c r="D11" s="5" t="n">
        <f aca="false">B11*C11</f>
        <v>0</v>
      </c>
      <c r="E11" s="5" t="n">
        <v>0</v>
      </c>
      <c r="F11" s="5" t="n">
        <f aca="false">B11*E11</f>
        <v>0</v>
      </c>
      <c r="G11" s="7" t="s">
        <v>38</v>
      </c>
      <c r="H11" s="7" t="s">
        <v>70</v>
      </c>
      <c r="I11" s="7" t="s">
        <v>71</v>
      </c>
      <c r="J11" s="7"/>
      <c r="K11" s="7" t="s">
        <v>22</v>
      </c>
      <c r="L11" s="7" t="s">
        <v>72</v>
      </c>
      <c r="M11" s="7" t="n">
        <v>0</v>
      </c>
      <c r="N11" s="6"/>
      <c r="O11" s="7" t="n">
        <v>0</v>
      </c>
      <c r="P11" s="4" t="n">
        <f aca="false">O11-B11</f>
        <v>-1</v>
      </c>
      <c r="Q11" s="7" t="s">
        <v>73</v>
      </c>
    </row>
    <row r="12" customFormat="false" ht="15.75" hidden="false" customHeight="false" outlineLevel="0" collapsed="false">
      <c r="A12" s="7" t="s">
        <v>74</v>
      </c>
      <c r="B12" s="4" t="n">
        <v>1</v>
      </c>
      <c r="C12" s="5" t="n">
        <v>0</v>
      </c>
      <c r="D12" s="5" t="n">
        <f aca="false">B12*C12</f>
        <v>0</v>
      </c>
      <c r="E12" s="5" t="n">
        <v>0</v>
      </c>
      <c r="F12" s="5" t="n">
        <f aca="false">B12*E12</f>
        <v>0</v>
      </c>
      <c r="G12" s="7" t="s">
        <v>38</v>
      </c>
      <c r="H12" s="7" t="s">
        <v>75</v>
      </c>
      <c r="I12" s="7" t="s">
        <v>76</v>
      </c>
      <c r="J12" s="7"/>
      <c r="K12" s="7" t="s">
        <v>22</v>
      </c>
      <c r="L12" s="7" t="s">
        <v>77</v>
      </c>
      <c r="M12" s="7" t="n">
        <v>0</v>
      </c>
      <c r="N12" s="6"/>
      <c r="O12" s="7" t="n">
        <v>0</v>
      </c>
      <c r="P12" s="4" t="n">
        <f aca="false">O12-B12</f>
        <v>-1</v>
      </c>
      <c r="Q12" s="7" t="s">
        <v>78</v>
      </c>
    </row>
    <row r="13" customFormat="false" ht="15.75" hidden="false" customHeight="false" outlineLevel="0" collapsed="false">
      <c r="A13" s="7" t="s">
        <v>79</v>
      </c>
      <c r="B13" s="4" t="n">
        <v>1</v>
      </c>
      <c r="C13" s="5" t="n">
        <v>0</v>
      </c>
      <c r="D13" s="5" t="n">
        <f aca="false">B13*C13</f>
        <v>0</v>
      </c>
      <c r="E13" s="5" t="n">
        <v>0</v>
      </c>
      <c r="F13" s="5" t="n">
        <f aca="false">B13*E13</f>
        <v>0</v>
      </c>
      <c r="G13" s="7" t="s">
        <v>38</v>
      </c>
      <c r="H13" s="7" t="s">
        <v>80</v>
      </c>
      <c r="I13" s="7" t="s">
        <v>81</v>
      </c>
      <c r="J13" s="7"/>
      <c r="K13" s="7" t="s">
        <v>22</v>
      </c>
      <c r="L13" s="7" t="s">
        <v>82</v>
      </c>
      <c r="M13" s="7" t="n">
        <v>0</v>
      </c>
      <c r="N13" s="6"/>
      <c r="O13" s="7" t="n">
        <v>0</v>
      </c>
      <c r="P13" s="4" t="n">
        <f aca="false">O13-B13</f>
        <v>-1</v>
      </c>
      <c r="Q13" s="7" t="s">
        <v>83</v>
      </c>
    </row>
    <row r="14" customFormat="false" ht="15.75" hidden="false" customHeight="false" outlineLevel="0" collapsed="false">
      <c r="A14" s="7" t="s">
        <v>84</v>
      </c>
      <c r="B14" s="4" t="n">
        <v>1</v>
      </c>
      <c r="C14" s="5" t="n">
        <v>0</v>
      </c>
      <c r="D14" s="5" t="n">
        <f aca="false">B14*C14</f>
        <v>0</v>
      </c>
      <c r="E14" s="5" t="n">
        <v>0</v>
      </c>
      <c r="F14" s="5" t="n">
        <f aca="false">B14*E14</f>
        <v>0</v>
      </c>
      <c r="G14" s="7" t="s">
        <v>38</v>
      </c>
      <c r="H14" s="7" t="s">
        <v>85</v>
      </c>
      <c r="I14" s="7" t="s">
        <v>86</v>
      </c>
      <c r="J14" s="7"/>
      <c r="K14" s="7" t="s">
        <v>22</v>
      </c>
      <c r="L14" s="7" t="s">
        <v>87</v>
      </c>
      <c r="M14" s="7" t="n">
        <v>0</v>
      </c>
      <c r="N14" s="6"/>
      <c r="O14" s="7" t="n">
        <v>0</v>
      </c>
      <c r="P14" s="4" t="n">
        <f aca="false">O14-B14</f>
        <v>-1</v>
      </c>
      <c r="Q14" s="7" t="s">
        <v>88</v>
      </c>
    </row>
    <row r="15" customFormat="false" ht="15.75" hidden="false" customHeight="false" outlineLevel="0" collapsed="false">
      <c r="A15" s="7" t="s">
        <v>89</v>
      </c>
      <c r="B15" s="4" t="n">
        <v>1</v>
      </c>
      <c r="C15" s="5" t="n">
        <v>1.25</v>
      </c>
      <c r="D15" s="5" t="n">
        <f aca="false">B15*C15</f>
        <v>1.25</v>
      </c>
      <c r="E15" s="5" t="n">
        <v>1.25</v>
      </c>
      <c r="F15" s="5" t="n">
        <f aca="false">B15*E15</f>
        <v>1.25</v>
      </c>
      <c r="G15" s="7" t="s">
        <v>90</v>
      </c>
      <c r="H15" s="7" t="s">
        <v>91</v>
      </c>
      <c r="I15" s="7" t="s">
        <v>92</v>
      </c>
      <c r="J15" s="7"/>
      <c r="K15" s="7" t="s">
        <v>47</v>
      </c>
      <c r="L15" s="7" t="s">
        <v>93</v>
      </c>
      <c r="M15" s="7" t="n">
        <v>0</v>
      </c>
      <c r="N15" s="6"/>
      <c r="O15" s="7" t="n">
        <v>0</v>
      </c>
      <c r="P15" s="4" t="n">
        <f aca="false">O15-B15</f>
        <v>-1</v>
      </c>
      <c r="Q15" s="7" t="s">
        <v>94</v>
      </c>
    </row>
    <row r="16" customFormat="false" ht="15.75" hidden="false" customHeight="false" outlineLevel="0" collapsed="false">
      <c r="A16" s="7" t="s">
        <v>95</v>
      </c>
      <c r="B16" s="4" t="n">
        <v>1</v>
      </c>
      <c r="C16" s="5" t="n">
        <v>0.45</v>
      </c>
      <c r="D16" s="5" t="n">
        <f aca="false">B16*C16</f>
        <v>0.45</v>
      </c>
      <c r="E16" s="5" t="n">
        <v>0.45</v>
      </c>
      <c r="F16" s="5" t="n">
        <f aca="false">B16*E16</f>
        <v>0.45</v>
      </c>
      <c r="G16" s="7" t="s">
        <v>96</v>
      </c>
      <c r="H16" s="7" t="s">
        <v>97</v>
      </c>
      <c r="I16" s="7" t="s">
        <v>98</v>
      </c>
      <c r="J16" s="7"/>
      <c r="K16" s="7" t="s">
        <v>47</v>
      </c>
      <c r="L16" s="7" t="s">
        <v>99</v>
      </c>
      <c r="M16" s="7" t="n">
        <v>0</v>
      </c>
      <c r="N16" s="6"/>
      <c r="O16" s="7" t="n">
        <v>0</v>
      </c>
      <c r="P16" s="4" t="n">
        <f aca="false">O16-B16</f>
        <v>-1</v>
      </c>
      <c r="Q16" s="7" t="s">
        <v>100</v>
      </c>
    </row>
    <row r="17" customFormat="false" ht="15.75" hidden="false" customHeight="false" outlineLevel="0" collapsed="false">
      <c r="A17" s="7" t="s">
        <v>101</v>
      </c>
      <c r="B17" s="4" t="n">
        <v>1</v>
      </c>
      <c r="C17" s="5" t="n">
        <v>0.94</v>
      </c>
      <c r="D17" s="5" t="n">
        <f aca="false">B17*C17</f>
        <v>0.94</v>
      </c>
      <c r="E17" s="5" t="n">
        <v>0.94</v>
      </c>
      <c r="F17" s="5" t="n">
        <f aca="false">B17*E17</f>
        <v>0.94</v>
      </c>
      <c r="G17" s="7" t="s">
        <v>102</v>
      </c>
      <c r="H17" s="7" t="s">
        <v>103</v>
      </c>
      <c r="I17" s="7" t="s">
        <v>104</v>
      </c>
      <c r="J17" s="7"/>
      <c r="K17" s="7" t="s">
        <v>47</v>
      </c>
      <c r="L17" s="7" t="s">
        <v>105</v>
      </c>
      <c r="M17" s="7" t="n">
        <v>0</v>
      </c>
      <c r="N17" s="6"/>
      <c r="O17" s="7" t="n">
        <v>0</v>
      </c>
      <c r="P17" s="4" t="n">
        <f aca="false">O17-B17</f>
        <v>-1</v>
      </c>
      <c r="Q17" s="7" t="s">
        <v>106</v>
      </c>
    </row>
    <row r="18" customFormat="false" ht="15.75" hidden="false" customHeight="false" outlineLevel="0" collapsed="false">
      <c r="A18" s="7" t="s">
        <v>107</v>
      </c>
      <c r="B18" s="4" t="n">
        <v>1</v>
      </c>
      <c r="C18" s="5" t="n">
        <v>0.2</v>
      </c>
      <c r="D18" s="5" t="n">
        <f aca="false">B18*C18</f>
        <v>0.2</v>
      </c>
      <c r="E18" s="5" t="n">
        <v>0.2</v>
      </c>
      <c r="F18" s="5" t="n">
        <f aca="false">B18*E18</f>
        <v>0.2</v>
      </c>
      <c r="G18" s="7" t="s">
        <v>108</v>
      </c>
      <c r="H18" s="7" t="s">
        <v>109</v>
      </c>
      <c r="I18" s="7" t="s">
        <v>110</v>
      </c>
      <c r="J18" s="7"/>
      <c r="K18" s="7" t="s">
        <v>47</v>
      </c>
      <c r="L18" s="7" t="s">
        <v>111</v>
      </c>
      <c r="M18" s="7" t="n">
        <v>0</v>
      </c>
      <c r="N18" s="6"/>
      <c r="O18" s="7" t="n">
        <v>0</v>
      </c>
      <c r="P18" s="4" t="n">
        <f aca="false">O18-B18</f>
        <v>-1</v>
      </c>
      <c r="Q18" s="7" t="s">
        <v>112</v>
      </c>
    </row>
    <row r="19" customFormat="false" ht="15.75" hidden="false" customHeight="false" outlineLevel="0" collapsed="false">
      <c r="A19" s="7" t="s">
        <v>113</v>
      </c>
      <c r="B19" s="4" t="n">
        <v>1</v>
      </c>
      <c r="C19" s="5" t="n">
        <v>0.25</v>
      </c>
      <c r="D19" s="5" t="n">
        <f aca="false">B19*C19</f>
        <v>0.25</v>
      </c>
      <c r="E19" s="5" t="n">
        <v>0.25</v>
      </c>
      <c r="F19" s="5" t="n">
        <f aca="false">B19*E19</f>
        <v>0.25</v>
      </c>
      <c r="G19" s="7" t="s">
        <v>108</v>
      </c>
      <c r="H19" s="7" t="s">
        <v>114</v>
      </c>
      <c r="I19" s="7" t="s">
        <v>115</v>
      </c>
      <c r="J19" s="7"/>
      <c r="K19" s="7" t="s">
        <v>47</v>
      </c>
      <c r="L19" s="7" t="s">
        <v>116</v>
      </c>
      <c r="M19" s="7" t="n">
        <v>0</v>
      </c>
      <c r="N19" s="6"/>
      <c r="O19" s="7" t="n">
        <v>0</v>
      </c>
      <c r="P19" s="4" t="n">
        <f aca="false">O19-B19</f>
        <v>-1</v>
      </c>
      <c r="Q19" s="7" t="s">
        <v>117</v>
      </c>
    </row>
    <row r="20" customFormat="false" ht="15.75" hidden="false" customHeight="false" outlineLevel="0" collapsed="false">
      <c r="A20" s="7" t="s">
        <v>118</v>
      </c>
      <c r="B20" s="4" t="n">
        <v>3</v>
      </c>
      <c r="C20" s="5" t="n">
        <v>0</v>
      </c>
      <c r="D20" s="5" t="n">
        <f aca="false">B20*C20</f>
        <v>0</v>
      </c>
      <c r="E20" s="5" t="n">
        <v>0</v>
      </c>
      <c r="F20" s="5" t="n">
        <f aca="false">B20*E20</f>
        <v>0</v>
      </c>
      <c r="G20" s="7" t="s">
        <v>119</v>
      </c>
      <c r="H20" s="7" t="s">
        <v>120</v>
      </c>
      <c r="I20" s="7"/>
      <c r="J20" s="7"/>
      <c r="K20" s="7" t="s">
        <v>22</v>
      </c>
      <c r="L20" s="7" t="s">
        <v>121</v>
      </c>
      <c r="M20" s="7" t="n">
        <v>0</v>
      </c>
      <c r="N20" s="6"/>
      <c r="O20" s="7" t="n">
        <v>0</v>
      </c>
      <c r="P20" s="4" t="n">
        <f aca="false">O20-B20</f>
        <v>-3</v>
      </c>
      <c r="Q20" s="7" t="s">
        <v>122</v>
      </c>
    </row>
    <row r="21" customFormat="false" ht="15.75" hidden="false" customHeight="false" outlineLevel="0" collapsed="false">
      <c r="A21" s="7" t="s">
        <v>123</v>
      </c>
      <c r="B21" s="4" t="n">
        <v>7</v>
      </c>
      <c r="C21" s="5" t="n">
        <v>0</v>
      </c>
      <c r="D21" s="5" t="n">
        <f aca="false">B21*C21</f>
        <v>0</v>
      </c>
      <c r="E21" s="5" t="n">
        <v>0</v>
      </c>
      <c r="F21" s="5" t="n">
        <f aca="false">B21*E21</f>
        <v>0</v>
      </c>
      <c r="G21" s="7" t="s">
        <v>119</v>
      </c>
      <c r="H21" s="7" t="s">
        <v>120</v>
      </c>
      <c r="I21" s="7"/>
      <c r="J21" s="7"/>
      <c r="K21" s="7" t="s">
        <v>22</v>
      </c>
      <c r="L21" s="7" t="s">
        <v>121</v>
      </c>
      <c r="M21" s="7" t="n">
        <v>0</v>
      </c>
      <c r="N21" s="6"/>
      <c r="O21" s="7" t="n">
        <v>0</v>
      </c>
      <c r="P21" s="4" t="n">
        <f aca="false">O21-B21</f>
        <v>-7</v>
      </c>
      <c r="Q21" s="7" t="s">
        <v>124</v>
      </c>
    </row>
    <row r="22" customFormat="false" ht="15.75" hidden="false" customHeight="false" outlineLevel="0" collapsed="false">
      <c r="A22" s="7" t="s">
        <v>125</v>
      </c>
      <c r="B22" s="4" t="n">
        <v>3</v>
      </c>
      <c r="C22" s="5" t="n">
        <v>0</v>
      </c>
      <c r="D22" s="5" t="n">
        <f aca="false">B22*C22</f>
        <v>0</v>
      </c>
      <c r="E22" s="5" t="n">
        <v>0</v>
      </c>
      <c r="F22" s="5" t="n">
        <f aca="false">B22*E22</f>
        <v>0</v>
      </c>
      <c r="G22" s="7" t="s">
        <v>119</v>
      </c>
      <c r="H22" s="7" t="s">
        <v>120</v>
      </c>
      <c r="I22" s="7"/>
      <c r="J22" s="7"/>
      <c r="K22" s="7" t="s">
        <v>22</v>
      </c>
      <c r="L22" s="7" t="s">
        <v>121</v>
      </c>
      <c r="M22" s="7" t="n">
        <v>0</v>
      </c>
      <c r="N22" s="6"/>
      <c r="O22" s="7" t="n">
        <v>0</v>
      </c>
      <c r="P22" s="4" t="n">
        <f aca="false">O22-B22</f>
        <v>-3</v>
      </c>
      <c r="Q22" s="7" t="s">
        <v>126</v>
      </c>
    </row>
    <row r="23" customFormat="false" ht="15.75" hidden="false" customHeight="false" outlineLevel="0" collapsed="false">
      <c r="A23" s="7" t="s">
        <v>127</v>
      </c>
      <c r="B23" s="4" t="n">
        <v>2</v>
      </c>
      <c r="C23" s="5" t="n">
        <v>0</v>
      </c>
      <c r="D23" s="5" t="n">
        <f aca="false">B23*C23</f>
        <v>0</v>
      </c>
      <c r="E23" s="5" t="n">
        <v>0</v>
      </c>
      <c r="F23" s="5" t="n">
        <f aca="false">B23*E23</f>
        <v>0</v>
      </c>
      <c r="G23" s="7" t="s">
        <v>119</v>
      </c>
      <c r="H23" s="7" t="s">
        <v>120</v>
      </c>
      <c r="I23" s="7"/>
      <c r="J23" s="7"/>
      <c r="K23" s="7" t="s">
        <v>22</v>
      </c>
      <c r="L23" s="7" t="s">
        <v>121</v>
      </c>
      <c r="M23" s="7" t="n">
        <v>0</v>
      </c>
      <c r="N23" s="6"/>
      <c r="O23" s="7" t="n">
        <v>0</v>
      </c>
      <c r="P23" s="4" t="n">
        <f aca="false">O23-B23</f>
        <v>-2</v>
      </c>
      <c r="Q23" s="7" t="s">
        <v>128</v>
      </c>
    </row>
    <row r="24" customFormat="false" ht="15.75" hidden="false" customHeight="false" outlineLevel="0" collapsed="false">
      <c r="A24" s="7" t="s">
        <v>129</v>
      </c>
      <c r="B24" s="4" t="n">
        <v>2</v>
      </c>
      <c r="C24" s="5" t="n">
        <v>0</v>
      </c>
      <c r="D24" s="5" t="n">
        <f aca="false">B24*C24</f>
        <v>0</v>
      </c>
      <c r="E24" s="5" t="n">
        <v>0</v>
      </c>
      <c r="F24" s="5" t="n">
        <f aca="false">B24*E24</f>
        <v>0</v>
      </c>
      <c r="G24" s="7" t="s">
        <v>119</v>
      </c>
      <c r="H24" s="7" t="s">
        <v>120</v>
      </c>
      <c r="I24" s="7"/>
      <c r="J24" s="7"/>
      <c r="K24" s="7" t="s">
        <v>22</v>
      </c>
      <c r="L24" s="7" t="s">
        <v>121</v>
      </c>
      <c r="M24" s="7" t="n">
        <v>0</v>
      </c>
      <c r="N24" s="6"/>
      <c r="O24" s="7" t="n">
        <v>0</v>
      </c>
      <c r="P24" s="4" t="n">
        <f aca="false">O24-B24</f>
        <v>-2</v>
      </c>
      <c r="Q24" s="7" t="s">
        <v>130</v>
      </c>
    </row>
    <row r="25" customFormat="false" ht="15.75" hidden="false" customHeight="false" outlineLevel="0" collapsed="false">
      <c r="A25" s="7" t="s">
        <v>131</v>
      </c>
      <c r="B25" s="4" t="n">
        <v>4</v>
      </c>
      <c r="C25" s="5" t="n">
        <v>0</v>
      </c>
      <c r="D25" s="5" t="n">
        <f aca="false">B25*C25</f>
        <v>0</v>
      </c>
      <c r="E25" s="5" t="n">
        <v>0</v>
      </c>
      <c r="F25" s="5" t="n">
        <f aca="false">B25*E25</f>
        <v>0</v>
      </c>
      <c r="G25" s="7" t="s">
        <v>119</v>
      </c>
      <c r="H25" s="7" t="s">
        <v>120</v>
      </c>
      <c r="I25" s="7"/>
      <c r="J25" s="7"/>
      <c r="K25" s="7" t="s">
        <v>22</v>
      </c>
      <c r="L25" s="7" t="s">
        <v>121</v>
      </c>
      <c r="M25" s="7" t="n">
        <v>0</v>
      </c>
      <c r="N25" s="6"/>
      <c r="O25" s="7" t="n">
        <v>0</v>
      </c>
      <c r="P25" s="4" t="n">
        <f aca="false">O25-B25</f>
        <v>-4</v>
      </c>
      <c r="Q25" s="7" t="s">
        <v>132</v>
      </c>
    </row>
    <row r="26" customFormat="false" ht="15.75" hidden="false" customHeight="false" outlineLevel="0" collapsed="false">
      <c r="A26" s="7" t="s">
        <v>133</v>
      </c>
      <c r="B26" s="4" t="n">
        <v>10</v>
      </c>
      <c r="C26" s="5" t="n">
        <v>0.18</v>
      </c>
      <c r="D26" s="5" t="n">
        <f aca="false">B25*C25</f>
        <v>0</v>
      </c>
      <c r="E26" s="5" t="n">
        <v>0.18</v>
      </c>
      <c r="F26" s="5" t="n">
        <f aca="false">B25*E25</f>
        <v>0</v>
      </c>
      <c r="G26" s="7" t="s">
        <v>134</v>
      </c>
      <c r="H26" s="7" t="s">
        <v>135</v>
      </c>
      <c r="I26" s="7" t="s">
        <v>136</v>
      </c>
      <c r="J26" s="7"/>
      <c r="K26" s="7" t="s">
        <v>47</v>
      </c>
      <c r="L26" s="7" t="s">
        <v>137</v>
      </c>
      <c r="M26" s="7" t="n">
        <v>0</v>
      </c>
      <c r="N26" s="6"/>
      <c r="O26" s="7" t="n">
        <v>0</v>
      </c>
      <c r="P26" s="4" t="n">
        <f aca="false">O25-B25</f>
        <v>-4</v>
      </c>
      <c r="Q26" s="7" t="s">
        <v>138</v>
      </c>
    </row>
    <row r="27" customFormat="false" ht="15.75" hidden="false" customHeight="false" outlineLevel="0" collapsed="false">
      <c r="A27" s="7" t="s">
        <v>139</v>
      </c>
      <c r="B27" s="4" t="n">
        <v>3</v>
      </c>
      <c r="C27" s="5" t="n">
        <v>0.05</v>
      </c>
      <c r="D27" s="5" t="n">
        <f aca="false">B26*C26</f>
        <v>1.8</v>
      </c>
      <c r="E27" s="5" t="n">
        <v>0.05</v>
      </c>
      <c r="F27" s="5" t="n">
        <f aca="false">B26*E26</f>
        <v>1.8</v>
      </c>
      <c r="G27" s="7" t="s">
        <v>38</v>
      </c>
      <c r="H27" s="7" t="s">
        <v>140</v>
      </c>
      <c r="I27" s="7" t="s">
        <v>141</v>
      </c>
      <c r="J27" s="7"/>
      <c r="K27" s="7" t="s">
        <v>47</v>
      </c>
      <c r="L27" s="7" t="s">
        <v>142</v>
      </c>
      <c r="M27" s="7" t="n">
        <v>0</v>
      </c>
      <c r="N27" s="6"/>
      <c r="O27" s="7" t="n">
        <v>0</v>
      </c>
      <c r="P27" s="4" t="n">
        <f aca="false">O26-B26</f>
        <v>-10</v>
      </c>
      <c r="Q27" s="7" t="s">
        <v>143</v>
      </c>
    </row>
    <row r="28" customFormat="false" ht="15.75" hidden="false" customHeight="false" outlineLevel="0" collapsed="false">
      <c r="B28" s="4"/>
      <c r="C28" s="5"/>
      <c r="D28" s="5"/>
      <c r="E28" s="5"/>
      <c r="F28" s="5"/>
      <c r="N28" s="6"/>
      <c r="P28" s="4"/>
    </row>
    <row r="29" customFormat="false" ht="15.75" hidden="false" customHeight="false" outlineLevel="0" collapsed="false">
      <c r="A29" s="3" t="s">
        <v>144</v>
      </c>
      <c r="B29" s="3" t="n">
        <v>1</v>
      </c>
      <c r="C29" s="3" t="n">
        <v>0.18</v>
      </c>
      <c r="D29" s="3" t="n">
        <f aca="false">B28*C28</f>
        <v>0</v>
      </c>
      <c r="E29" s="3" t="n">
        <v>0.18</v>
      </c>
      <c r="F29" s="3" t="n">
        <f aca="false">B28*E28</f>
        <v>0</v>
      </c>
      <c r="G29" s="3" t="s">
        <v>145</v>
      </c>
      <c r="H29" s="3" t="s">
        <v>146</v>
      </c>
      <c r="I29" s="3" t="s">
        <v>147</v>
      </c>
      <c r="J29" s="3" t="s">
        <v>148</v>
      </c>
      <c r="K29" s="3" t="s">
        <v>47</v>
      </c>
      <c r="L29" s="3" t="s">
        <v>149</v>
      </c>
      <c r="M29" s="3"/>
      <c r="N29" s="3"/>
      <c r="O29" s="3"/>
      <c r="P29" s="3" t="n">
        <f aca="false">O28-B28</f>
        <v>0</v>
      </c>
      <c r="Q29" s="3" t="s">
        <v>150</v>
      </c>
    </row>
    <row r="30" customFormat="false" ht="15.75" hidden="false" customHeight="false" outlineLevel="0" collapsed="false">
      <c r="A30" s="3" t="s">
        <v>151</v>
      </c>
      <c r="B30" s="3" t="n">
        <v>1</v>
      </c>
      <c r="C30" s="3" t="n">
        <v>0.42</v>
      </c>
      <c r="D30" s="3" t="n">
        <f aca="false">B29*C29</f>
        <v>0.18</v>
      </c>
      <c r="E30" s="3" t="n">
        <v>0.42</v>
      </c>
      <c r="F30" s="3" t="n">
        <f aca="false">B29*E29</f>
        <v>0.18</v>
      </c>
      <c r="G30" s="3" t="s">
        <v>96</v>
      </c>
      <c r="H30" s="3" t="s">
        <v>152</v>
      </c>
      <c r="I30" s="3" t="s">
        <v>153</v>
      </c>
      <c r="J30" s="3" t="s">
        <v>154</v>
      </c>
      <c r="K30" s="3" t="s">
        <v>47</v>
      </c>
      <c r="L30" s="3" t="s">
        <v>155</v>
      </c>
      <c r="M30" s="3"/>
      <c r="N30" s="3"/>
      <c r="O30" s="3"/>
      <c r="P30" s="3" t="n">
        <f aca="false">O29-B29</f>
        <v>-1</v>
      </c>
      <c r="Q30" s="3" t="s">
        <v>156</v>
      </c>
    </row>
    <row r="31" customFormat="false" ht="15.75" hidden="false" customHeight="false" outlineLevel="0" collapsed="false">
      <c r="A31" s="3" t="s">
        <v>157</v>
      </c>
      <c r="B31" s="3" t="n">
        <v>30</v>
      </c>
      <c r="C31" s="3" t="n">
        <v>0</v>
      </c>
      <c r="D31" s="3" t="n">
        <f aca="false">B31*C31</f>
        <v>0</v>
      </c>
      <c r="E31" s="3" t="n">
        <v>0</v>
      </c>
      <c r="F31" s="3" t="n">
        <f aca="false">B31*E31</f>
        <v>0</v>
      </c>
      <c r="G31" s="3"/>
      <c r="H31" s="3"/>
      <c r="I31" s="3"/>
      <c r="J31" s="3"/>
      <c r="K31" s="3" t="s">
        <v>22</v>
      </c>
      <c r="L31" s="3" t="s">
        <v>55</v>
      </c>
      <c r="M31" s="3" t="n">
        <v>0</v>
      </c>
      <c r="N31" s="3"/>
      <c r="O31" s="3" t="n">
        <v>0</v>
      </c>
      <c r="P31" s="3" t="n">
        <f aca="false">O31-B31</f>
        <v>-30</v>
      </c>
      <c r="Q31" s="3" t="s">
        <v>158</v>
      </c>
    </row>
    <row r="32" customFormat="false" ht="15.75" hidden="false" customHeight="false" outlineLevel="0" collapsed="false">
      <c r="A32" s="8" t="s">
        <v>159</v>
      </c>
      <c r="B32" s="4"/>
      <c r="C32" s="5"/>
      <c r="D32" s="9" t="n">
        <f aca="false">SUM(D3:D31)</f>
        <v>7.13</v>
      </c>
      <c r="E32" s="5"/>
      <c r="F32" s="9" t="n">
        <f aca="false">SUM(F3:F31)</f>
        <v>7.13</v>
      </c>
      <c r="N32" s="6"/>
      <c r="P32" s="4"/>
    </row>
    <row r="33" customFormat="false" ht="15.75" hidden="false" customHeight="false" outlineLevel="0" collapsed="false">
      <c r="B33" s="4"/>
      <c r="C33" s="5"/>
      <c r="D33" s="5"/>
      <c r="E33" s="5"/>
      <c r="F33" s="5"/>
      <c r="N33" s="6"/>
      <c r="P33" s="4"/>
    </row>
    <row r="34" customFormat="false" ht="15.75" hidden="false" customHeight="false" outlineLevel="0" collapsed="false">
      <c r="B34" s="4"/>
      <c r="C34" s="5"/>
      <c r="D34" s="5"/>
      <c r="E34" s="5"/>
      <c r="F34" s="5"/>
      <c r="N34" s="6"/>
      <c r="P34" s="4"/>
    </row>
    <row r="35" customFormat="false" ht="15.75" hidden="false" customHeight="false" outlineLevel="0" collapsed="false">
      <c r="B35" s="4"/>
      <c r="C35" s="5"/>
      <c r="D35" s="5"/>
      <c r="E35" s="5"/>
      <c r="F35" s="5"/>
      <c r="N35" s="6"/>
      <c r="P35" s="4"/>
    </row>
    <row r="36" customFormat="false" ht="15.75" hidden="false" customHeight="false" outlineLevel="0" collapsed="false">
      <c r="B36" s="4"/>
      <c r="C36" s="5"/>
      <c r="D36" s="5"/>
      <c r="E36" s="5"/>
      <c r="F36" s="5"/>
      <c r="N36" s="6"/>
      <c r="P36" s="4"/>
    </row>
    <row r="37" customFormat="false" ht="15.75" hidden="false" customHeight="false" outlineLevel="0" collapsed="false">
      <c r="B37" s="4"/>
      <c r="C37" s="5"/>
      <c r="D37" s="5"/>
      <c r="E37" s="5"/>
      <c r="F37" s="5"/>
      <c r="N37" s="6"/>
      <c r="P37" s="4"/>
    </row>
    <row r="38" customFormat="false" ht="15.75" hidden="false" customHeight="false" outlineLevel="0" collapsed="false">
      <c r="B38" s="4"/>
      <c r="C38" s="5"/>
      <c r="D38" s="5"/>
      <c r="E38" s="5"/>
      <c r="F38" s="5"/>
      <c r="N38" s="6"/>
      <c r="P38" s="4"/>
    </row>
    <row r="39" customFormat="false" ht="15.75" hidden="false" customHeight="false" outlineLevel="0" collapsed="false">
      <c r="B39" s="4"/>
      <c r="C39" s="5"/>
      <c r="D39" s="5"/>
      <c r="E39" s="5"/>
      <c r="F39" s="5"/>
      <c r="N39" s="6"/>
      <c r="P39" s="4"/>
    </row>
    <row r="40" customFormat="false" ht="15.75" hidden="false" customHeight="false" outlineLevel="0" collapsed="false">
      <c r="B40" s="4"/>
      <c r="C40" s="5"/>
      <c r="D40" s="5"/>
      <c r="E40" s="5"/>
      <c r="F40" s="5"/>
      <c r="N40" s="6"/>
      <c r="P40" s="4"/>
    </row>
    <row r="41" customFormat="false" ht="15.75" hidden="false" customHeight="false" outlineLevel="0" collapsed="false">
      <c r="B41" s="4"/>
      <c r="C41" s="5"/>
      <c r="D41" s="5"/>
      <c r="E41" s="5"/>
      <c r="F41" s="5"/>
      <c r="N41" s="6"/>
      <c r="P41" s="4"/>
    </row>
    <row r="42" customFormat="false" ht="15.75" hidden="false" customHeight="false" outlineLevel="0" collapsed="false">
      <c r="B42" s="4"/>
      <c r="C42" s="5"/>
      <c r="D42" s="5"/>
      <c r="E42" s="5"/>
      <c r="F42" s="5"/>
      <c r="N42" s="6"/>
      <c r="P42" s="4"/>
    </row>
    <row r="43" customFormat="false" ht="15.75" hidden="false" customHeight="false" outlineLevel="0" collapsed="false">
      <c r="B43" s="4"/>
      <c r="C43" s="5"/>
      <c r="D43" s="5"/>
      <c r="E43" s="5"/>
      <c r="F43" s="5"/>
      <c r="N43" s="6"/>
      <c r="P43" s="4"/>
    </row>
    <row r="44" customFormat="false" ht="15.75" hidden="false" customHeight="false" outlineLevel="0" collapsed="false">
      <c r="B44" s="4"/>
      <c r="C44" s="5"/>
      <c r="D44" s="5"/>
      <c r="E44" s="5"/>
      <c r="F44" s="5"/>
      <c r="N44" s="6"/>
      <c r="P44" s="4"/>
    </row>
    <row r="45" customFormat="false" ht="15.75" hidden="false" customHeight="false" outlineLevel="0" collapsed="false">
      <c r="B45" s="4"/>
      <c r="C45" s="5"/>
      <c r="D45" s="5"/>
      <c r="E45" s="5"/>
      <c r="F45" s="5"/>
      <c r="N45" s="6"/>
      <c r="P45" s="4"/>
    </row>
    <row r="46" customFormat="false" ht="15.75" hidden="false" customHeight="false" outlineLevel="0" collapsed="false">
      <c r="B46" s="4"/>
      <c r="C46" s="5"/>
      <c r="D46" s="5"/>
      <c r="E46" s="5"/>
      <c r="F46" s="5"/>
      <c r="N46" s="6"/>
      <c r="P46" s="4"/>
    </row>
    <row r="47" customFormat="false" ht="15.75" hidden="false" customHeight="false" outlineLevel="0" collapsed="false">
      <c r="B47" s="4"/>
      <c r="C47" s="5"/>
      <c r="D47" s="5"/>
      <c r="E47" s="5"/>
      <c r="F47" s="5"/>
      <c r="N47" s="6"/>
      <c r="P47" s="4"/>
    </row>
    <row r="48" customFormat="false" ht="15.75" hidden="false" customHeight="false" outlineLevel="0" collapsed="false">
      <c r="B48" s="4"/>
      <c r="C48" s="5"/>
      <c r="D48" s="5"/>
      <c r="E48" s="5"/>
      <c r="F48" s="5"/>
      <c r="N48" s="6"/>
      <c r="P48" s="4"/>
    </row>
    <row r="49" customFormat="false" ht="15.75" hidden="false" customHeight="false" outlineLevel="0" collapsed="false">
      <c r="B49" s="4"/>
      <c r="C49" s="5"/>
      <c r="D49" s="5"/>
      <c r="E49" s="5"/>
      <c r="F49" s="5"/>
      <c r="N49" s="6"/>
      <c r="P49" s="4"/>
    </row>
    <row r="50" customFormat="false" ht="15.75" hidden="false" customHeight="false" outlineLevel="0" collapsed="false">
      <c r="B50" s="4"/>
      <c r="C50" s="5"/>
      <c r="D50" s="5"/>
      <c r="E50" s="5"/>
      <c r="F50" s="5"/>
      <c r="N50" s="6"/>
      <c r="P50" s="4"/>
    </row>
    <row r="51" customFormat="false" ht="15.75" hidden="false" customHeight="false" outlineLevel="0" collapsed="false">
      <c r="B51" s="4"/>
      <c r="C51" s="5"/>
      <c r="D51" s="5"/>
      <c r="E51" s="5"/>
      <c r="F51" s="5"/>
      <c r="N51" s="6"/>
      <c r="P51" s="4"/>
    </row>
    <row r="52" customFormat="false" ht="15.75" hidden="false" customHeight="false" outlineLevel="0" collapsed="false">
      <c r="B52" s="4"/>
      <c r="C52" s="5"/>
      <c r="D52" s="5"/>
      <c r="E52" s="5"/>
      <c r="F52" s="5"/>
      <c r="N52" s="6"/>
      <c r="P52" s="4"/>
    </row>
    <row r="53" customFormat="false" ht="15.75" hidden="false" customHeight="false" outlineLevel="0" collapsed="false">
      <c r="B53" s="4"/>
      <c r="C53" s="5"/>
      <c r="D53" s="5"/>
      <c r="E53" s="5"/>
      <c r="F53" s="5"/>
      <c r="N53" s="6"/>
      <c r="P53" s="4"/>
    </row>
    <row r="54" customFormat="false" ht="15.75" hidden="false" customHeight="false" outlineLevel="0" collapsed="false">
      <c r="B54" s="4"/>
      <c r="C54" s="5"/>
      <c r="D54" s="5"/>
      <c r="E54" s="5"/>
      <c r="F54" s="5"/>
      <c r="N54" s="6"/>
      <c r="P54" s="4"/>
    </row>
    <row r="55" customFormat="false" ht="15.75" hidden="false" customHeight="false" outlineLevel="0" collapsed="false">
      <c r="B55" s="4"/>
      <c r="C55" s="5"/>
      <c r="D55" s="5"/>
      <c r="E55" s="5"/>
      <c r="F55" s="5"/>
      <c r="N55" s="6"/>
      <c r="P55" s="4"/>
    </row>
    <row r="56" customFormat="false" ht="15.75" hidden="false" customHeight="false" outlineLevel="0" collapsed="false">
      <c r="B56" s="4"/>
      <c r="C56" s="5"/>
      <c r="D56" s="5"/>
      <c r="E56" s="5"/>
      <c r="F56" s="5"/>
      <c r="N56" s="6"/>
      <c r="P56" s="4"/>
    </row>
    <row r="57" customFormat="false" ht="15.75" hidden="false" customHeight="false" outlineLevel="0" collapsed="false">
      <c r="B57" s="4"/>
      <c r="C57" s="5"/>
      <c r="D57" s="5"/>
      <c r="E57" s="5"/>
      <c r="F57" s="5"/>
      <c r="N57" s="6"/>
      <c r="P57" s="4"/>
    </row>
    <row r="58" customFormat="false" ht="15.75" hidden="false" customHeight="false" outlineLevel="0" collapsed="false">
      <c r="B58" s="4"/>
      <c r="C58" s="5"/>
      <c r="D58" s="5"/>
      <c r="E58" s="5"/>
      <c r="F58" s="5"/>
      <c r="N58" s="6"/>
      <c r="P58" s="4"/>
    </row>
    <row r="59" customFormat="false" ht="15.75" hidden="false" customHeight="false" outlineLevel="0" collapsed="false">
      <c r="B59" s="4"/>
      <c r="C59" s="5"/>
      <c r="D59" s="5"/>
      <c r="E59" s="5"/>
      <c r="F59" s="5"/>
      <c r="N59" s="6"/>
      <c r="P59" s="4"/>
    </row>
    <row r="60" customFormat="false" ht="15.75" hidden="false" customHeight="false" outlineLevel="0" collapsed="false">
      <c r="B60" s="4"/>
      <c r="C60" s="5"/>
      <c r="D60" s="5"/>
      <c r="E60" s="5"/>
      <c r="F60" s="5"/>
      <c r="N60" s="6"/>
      <c r="P60" s="4"/>
    </row>
    <row r="61" customFormat="false" ht="15.75" hidden="false" customHeight="false" outlineLevel="0" collapsed="false">
      <c r="B61" s="4"/>
      <c r="C61" s="5"/>
      <c r="D61" s="5"/>
      <c r="E61" s="5"/>
      <c r="F61" s="5"/>
      <c r="N61" s="6"/>
      <c r="P61" s="4"/>
    </row>
    <row r="62" customFormat="false" ht="15.75" hidden="false" customHeight="false" outlineLevel="0" collapsed="false">
      <c r="B62" s="4"/>
      <c r="C62" s="5"/>
      <c r="D62" s="5"/>
      <c r="E62" s="5"/>
      <c r="F62" s="5"/>
      <c r="N62" s="6"/>
      <c r="P62" s="4"/>
    </row>
    <row r="63" customFormat="false" ht="15.75" hidden="false" customHeight="false" outlineLevel="0" collapsed="false">
      <c r="B63" s="4"/>
      <c r="C63" s="5"/>
      <c r="D63" s="5"/>
      <c r="E63" s="5"/>
      <c r="F63" s="5"/>
      <c r="N63" s="6"/>
      <c r="P63" s="4"/>
    </row>
    <row r="64" customFormat="false" ht="15.75" hidden="false" customHeight="false" outlineLevel="0" collapsed="false">
      <c r="B64" s="4"/>
      <c r="C64" s="5"/>
      <c r="D64" s="5"/>
      <c r="E64" s="5"/>
      <c r="F64" s="5"/>
      <c r="N64" s="6"/>
      <c r="P64" s="4"/>
    </row>
    <row r="65" customFormat="false" ht="15.75" hidden="false" customHeight="false" outlineLevel="0" collapsed="false">
      <c r="B65" s="4"/>
      <c r="C65" s="5"/>
      <c r="D65" s="5"/>
      <c r="E65" s="5"/>
      <c r="F65" s="5"/>
      <c r="N65" s="6"/>
      <c r="P65" s="4"/>
    </row>
    <row r="66" customFormat="false" ht="15.75" hidden="false" customHeight="false" outlineLevel="0" collapsed="false">
      <c r="B66" s="4"/>
      <c r="C66" s="5"/>
      <c r="D66" s="5"/>
      <c r="E66" s="5"/>
      <c r="F66" s="5"/>
      <c r="N66" s="6"/>
      <c r="P66" s="4"/>
    </row>
    <row r="67" customFormat="false" ht="15.75" hidden="false" customHeight="false" outlineLevel="0" collapsed="false">
      <c r="B67" s="4"/>
      <c r="C67" s="5"/>
      <c r="D67" s="5"/>
      <c r="E67" s="5"/>
      <c r="F67" s="5"/>
      <c r="N67" s="6"/>
      <c r="P67" s="4"/>
    </row>
    <row r="68" customFormat="false" ht="15.75" hidden="false" customHeight="false" outlineLevel="0" collapsed="false">
      <c r="B68" s="4"/>
      <c r="C68" s="5"/>
      <c r="D68" s="5"/>
      <c r="E68" s="5"/>
      <c r="F68" s="5"/>
      <c r="N68" s="6"/>
      <c r="P68" s="4"/>
    </row>
    <row r="69" customFormat="false" ht="15.75" hidden="false" customHeight="false" outlineLevel="0" collapsed="false">
      <c r="B69" s="4"/>
      <c r="C69" s="5"/>
      <c r="D69" s="5"/>
      <c r="E69" s="5"/>
      <c r="F69" s="5"/>
      <c r="N69" s="6"/>
      <c r="P69" s="4"/>
    </row>
    <row r="70" customFormat="false" ht="15.75" hidden="false" customHeight="false" outlineLevel="0" collapsed="false">
      <c r="B70" s="4"/>
      <c r="C70" s="5"/>
      <c r="D70" s="5"/>
      <c r="E70" s="5"/>
      <c r="F70" s="5"/>
      <c r="N70" s="6"/>
      <c r="P70" s="4"/>
    </row>
    <row r="71" customFormat="false" ht="15.75" hidden="false" customHeight="false" outlineLevel="0" collapsed="false">
      <c r="B71" s="4"/>
      <c r="C71" s="5"/>
      <c r="D71" s="5"/>
      <c r="E71" s="5"/>
      <c r="F71" s="5"/>
      <c r="N71" s="6"/>
      <c r="P71" s="4"/>
    </row>
    <row r="72" customFormat="false" ht="15.75" hidden="false" customHeight="false" outlineLevel="0" collapsed="false">
      <c r="B72" s="4"/>
      <c r="C72" s="5"/>
      <c r="D72" s="5"/>
      <c r="E72" s="5"/>
      <c r="F72" s="5"/>
      <c r="N72" s="6"/>
      <c r="P72" s="4"/>
    </row>
    <row r="73" customFormat="false" ht="15.75" hidden="false" customHeight="false" outlineLevel="0" collapsed="false">
      <c r="B73" s="4"/>
      <c r="C73" s="5"/>
      <c r="D73" s="5"/>
      <c r="E73" s="5"/>
      <c r="F73" s="5"/>
      <c r="N73" s="6"/>
      <c r="P73" s="4"/>
    </row>
    <row r="74" customFormat="false" ht="15.75" hidden="false" customHeight="false" outlineLevel="0" collapsed="false">
      <c r="B74" s="4"/>
      <c r="C74" s="5"/>
      <c r="D74" s="5"/>
      <c r="E74" s="5"/>
      <c r="F74" s="5"/>
      <c r="N74" s="6"/>
      <c r="P74" s="4"/>
    </row>
    <row r="75" customFormat="false" ht="15.75" hidden="false" customHeight="false" outlineLevel="0" collapsed="false">
      <c r="B75" s="4"/>
      <c r="C75" s="5"/>
      <c r="D75" s="5"/>
      <c r="E75" s="5"/>
      <c r="F75" s="5"/>
      <c r="N75" s="6"/>
      <c r="P75" s="4"/>
    </row>
    <row r="76" customFormat="false" ht="15.75" hidden="false" customHeight="false" outlineLevel="0" collapsed="false">
      <c r="B76" s="4"/>
      <c r="C76" s="5"/>
      <c r="D76" s="5"/>
      <c r="E76" s="5"/>
      <c r="F76" s="5"/>
      <c r="N76" s="6"/>
      <c r="P76" s="4"/>
    </row>
    <row r="77" customFormat="false" ht="15.75" hidden="false" customHeight="false" outlineLevel="0" collapsed="false">
      <c r="B77" s="4"/>
      <c r="C77" s="5"/>
      <c r="D77" s="5"/>
      <c r="E77" s="5"/>
      <c r="F77" s="5"/>
      <c r="N77" s="6"/>
      <c r="P77" s="4"/>
    </row>
    <row r="78" customFormat="false" ht="15.75" hidden="false" customHeight="false" outlineLevel="0" collapsed="false">
      <c r="B78" s="4"/>
      <c r="C78" s="5"/>
      <c r="D78" s="5"/>
      <c r="E78" s="5"/>
      <c r="F78" s="5"/>
      <c r="N78" s="6"/>
      <c r="P78" s="4"/>
    </row>
    <row r="79" customFormat="false" ht="15.75" hidden="false" customHeight="false" outlineLevel="0" collapsed="false">
      <c r="B79" s="4"/>
      <c r="C79" s="5"/>
      <c r="D79" s="5"/>
      <c r="E79" s="5"/>
      <c r="F79" s="5"/>
      <c r="N79" s="6"/>
      <c r="P79" s="4"/>
    </row>
    <row r="80" customFormat="false" ht="15.75" hidden="false" customHeight="false" outlineLevel="0" collapsed="false">
      <c r="B80" s="4"/>
      <c r="C80" s="5"/>
      <c r="D80" s="5"/>
      <c r="E80" s="5"/>
      <c r="F80" s="5"/>
      <c r="N80" s="6"/>
      <c r="P80" s="4"/>
    </row>
    <row r="81" customFormat="false" ht="15.75" hidden="false" customHeight="false" outlineLevel="0" collapsed="false">
      <c r="B81" s="4"/>
      <c r="C81" s="5"/>
      <c r="D81" s="5"/>
      <c r="E81" s="5"/>
      <c r="F81" s="5"/>
      <c r="N81" s="6"/>
      <c r="P81" s="4"/>
    </row>
    <row r="82" customFormat="false" ht="15.75" hidden="false" customHeight="false" outlineLevel="0" collapsed="false">
      <c r="B82" s="4"/>
      <c r="C82" s="5"/>
      <c r="D82" s="5"/>
      <c r="E82" s="5"/>
      <c r="F82" s="5"/>
      <c r="N82" s="6"/>
      <c r="P82" s="4"/>
    </row>
    <row r="83" customFormat="false" ht="15.75" hidden="false" customHeight="false" outlineLevel="0" collapsed="false">
      <c r="B83" s="4"/>
      <c r="C83" s="5"/>
      <c r="D83" s="5"/>
      <c r="E83" s="5"/>
      <c r="F83" s="5"/>
      <c r="N83" s="6"/>
      <c r="P83" s="4"/>
    </row>
    <row r="84" customFormat="false" ht="15.75" hidden="false" customHeight="false" outlineLevel="0" collapsed="false">
      <c r="B84" s="4"/>
      <c r="C84" s="5"/>
      <c r="D84" s="5"/>
      <c r="E84" s="5"/>
      <c r="F84" s="5"/>
      <c r="N84" s="6"/>
      <c r="P84" s="4"/>
    </row>
    <row r="85" customFormat="false" ht="15.75" hidden="false" customHeight="false" outlineLevel="0" collapsed="false">
      <c r="B85" s="4"/>
      <c r="C85" s="5"/>
      <c r="D85" s="5"/>
      <c r="E85" s="5"/>
      <c r="F85" s="5"/>
      <c r="N85" s="6"/>
      <c r="P85" s="4"/>
    </row>
    <row r="86" customFormat="false" ht="15.75" hidden="false" customHeight="false" outlineLevel="0" collapsed="false">
      <c r="B86" s="4"/>
      <c r="C86" s="5"/>
      <c r="D86" s="5"/>
      <c r="E86" s="5"/>
      <c r="F86" s="5"/>
      <c r="N86" s="6"/>
      <c r="P86" s="4"/>
    </row>
    <row r="87" customFormat="false" ht="15.75" hidden="false" customHeight="false" outlineLevel="0" collapsed="false">
      <c r="B87" s="4"/>
      <c r="C87" s="5"/>
      <c r="D87" s="5"/>
      <c r="E87" s="5"/>
      <c r="F87" s="5"/>
      <c r="N87" s="6"/>
      <c r="P87" s="4"/>
    </row>
    <row r="88" customFormat="false" ht="15.75" hidden="false" customHeight="false" outlineLevel="0" collapsed="false">
      <c r="B88" s="4"/>
      <c r="C88" s="5"/>
      <c r="D88" s="5"/>
      <c r="E88" s="5"/>
      <c r="F88" s="5"/>
      <c r="N88" s="6"/>
      <c r="P88" s="4"/>
    </row>
    <row r="89" customFormat="false" ht="15.75" hidden="false" customHeight="false" outlineLevel="0" collapsed="false">
      <c r="B89" s="4"/>
      <c r="C89" s="5"/>
      <c r="D89" s="5"/>
      <c r="E89" s="5"/>
      <c r="F89" s="5"/>
      <c r="N89" s="6"/>
      <c r="P89" s="4"/>
    </row>
    <row r="90" customFormat="false" ht="15.75" hidden="false" customHeight="false" outlineLevel="0" collapsed="false">
      <c r="B90" s="4"/>
      <c r="C90" s="5"/>
      <c r="D90" s="5"/>
      <c r="E90" s="5"/>
      <c r="F90" s="5"/>
      <c r="N90" s="6"/>
      <c r="P90" s="4"/>
    </row>
    <row r="91" customFormat="false" ht="15.75" hidden="false" customHeight="false" outlineLevel="0" collapsed="false">
      <c r="B91" s="4"/>
      <c r="C91" s="5"/>
      <c r="D91" s="5"/>
      <c r="E91" s="5"/>
      <c r="F91" s="5"/>
      <c r="N91" s="6"/>
      <c r="P91" s="4"/>
    </row>
    <row r="92" customFormat="false" ht="15.75" hidden="false" customHeight="false" outlineLevel="0" collapsed="false">
      <c r="B92" s="4"/>
      <c r="C92" s="5"/>
      <c r="D92" s="5"/>
      <c r="E92" s="5"/>
      <c r="F92" s="5"/>
      <c r="N92" s="6"/>
      <c r="P92" s="4"/>
    </row>
    <row r="93" customFormat="false" ht="15.75" hidden="false" customHeight="false" outlineLevel="0" collapsed="false">
      <c r="B93" s="4"/>
      <c r="C93" s="5"/>
      <c r="D93" s="5"/>
      <c r="E93" s="5"/>
      <c r="F93" s="5"/>
      <c r="N93" s="6"/>
      <c r="P93" s="4"/>
    </row>
    <row r="94" customFormat="false" ht="15.75" hidden="false" customHeight="false" outlineLevel="0" collapsed="false">
      <c r="B94" s="4"/>
      <c r="C94" s="5"/>
      <c r="D94" s="5"/>
      <c r="E94" s="5"/>
      <c r="F94" s="5"/>
      <c r="N94" s="6"/>
      <c r="P94" s="4"/>
    </row>
    <row r="95" customFormat="false" ht="15.75" hidden="false" customHeight="false" outlineLevel="0" collapsed="false">
      <c r="B95" s="4"/>
      <c r="C95" s="5"/>
      <c r="D95" s="5"/>
      <c r="E95" s="5"/>
      <c r="F95" s="5"/>
      <c r="N95" s="6"/>
      <c r="P95" s="4"/>
    </row>
    <row r="96" customFormat="false" ht="15.75" hidden="false" customHeight="false" outlineLevel="0" collapsed="false">
      <c r="B96" s="4"/>
      <c r="C96" s="5"/>
      <c r="D96" s="5"/>
      <c r="E96" s="5"/>
      <c r="F96" s="5"/>
      <c r="N96" s="6"/>
      <c r="P96" s="4"/>
    </row>
    <row r="97" customFormat="false" ht="15.75" hidden="false" customHeight="false" outlineLevel="0" collapsed="false">
      <c r="B97" s="4"/>
      <c r="C97" s="5"/>
      <c r="D97" s="5"/>
      <c r="E97" s="5"/>
      <c r="F97" s="5"/>
      <c r="N97" s="6"/>
      <c r="P97" s="4"/>
    </row>
    <row r="98" customFormat="false" ht="15.75" hidden="false" customHeight="false" outlineLevel="0" collapsed="false">
      <c r="B98" s="4"/>
      <c r="C98" s="5"/>
      <c r="D98" s="5"/>
      <c r="E98" s="5"/>
      <c r="F98" s="5"/>
      <c r="N98" s="6"/>
      <c r="P98" s="4"/>
    </row>
    <row r="99" customFormat="false" ht="15.75" hidden="false" customHeight="false" outlineLevel="0" collapsed="false">
      <c r="B99" s="4"/>
      <c r="C99" s="5"/>
      <c r="D99" s="5"/>
      <c r="E99" s="5"/>
      <c r="F99" s="5"/>
      <c r="N99" s="6"/>
      <c r="P99" s="4"/>
    </row>
    <row r="100" customFormat="false" ht="15.75" hidden="false" customHeight="false" outlineLevel="0" collapsed="false">
      <c r="B100" s="4"/>
      <c r="C100" s="5"/>
      <c r="D100" s="5"/>
      <c r="E100" s="5"/>
      <c r="F100" s="5"/>
      <c r="N100" s="6"/>
      <c r="P100" s="4"/>
    </row>
    <row r="101" customFormat="false" ht="15.75" hidden="false" customHeight="false" outlineLevel="0" collapsed="false">
      <c r="B101" s="4"/>
      <c r="C101" s="5"/>
      <c r="D101" s="5"/>
      <c r="E101" s="5"/>
      <c r="F101" s="5"/>
      <c r="N101" s="6"/>
      <c r="P101" s="4"/>
    </row>
    <row r="102" customFormat="false" ht="15.75" hidden="false" customHeight="false" outlineLevel="0" collapsed="false">
      <c r="B102" s="4"/>
      <c r="C102" s="5"/>
      <c r="D102" s="5"/>
      <c r="E102" s="5"/>
      <c r="F102" s="5"/>
      <c r="N102" s="6"/>
      <c r="P102" s="4"/>
    </row>
    <row r="103" customFormat="false" ht="15.75" hidden="false" customHeight="false" outlineLevel="0" collapsed="false">
      <c r="B103" s="4"/>
      <c r="C103" s="5"/>
      <c r="D103" s="5"/>
      <c r="E103" s="5"/>
      <c r="F103" s="5"/>
      <c r="N103" s="6"/>
      <c r="P103" s="4"/>
    </row>
    <row r="104" customFormat="false" ht="15.75" hidden="false" customHeight="false" outlineLevel="0" collapsed="false">
      <c r="B104" s="4"/>
      <c r="C104" s="5"/>
      <c r="D104" s="5"/>
      <c r="E104" s="5"/>
      <c r="F104" s="5"/>
      <c r="N104" s="6"/>
      <c r="P104" s="4"/>
    </row>
    <row r="105" customFormat="false" ht="15.75" hidden="false" customHeight="false" outlineLevel="0" collapsed="false">
      <c r="B105" s="4"/>
      <c r="C105" s="5"/>
      <c r="D105" s="5"/>
      <c r="E105" s="5"/>
      <c r="F105" s="5"/>
      <c r="N105" s="6"/>
      <c r="P105" s="4"/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2026-03-07T05:04:27Z</dcterms:created>
  <dc:creator>openpyxl</dc:creator>
  <dc:description/>
  <dc:language>en-US</dc:language>
  <cp:lastModifiedBy/>
  <dcterms:modified xsi:type="dcterms:W3CDTF">2026-03-07T06:19:22Z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