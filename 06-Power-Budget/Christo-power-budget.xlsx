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92612D19-2BA2-4B8F-8E5E-CEEFE70051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ower Budget" sheetId="1" r:id="rId1"/>
  </sheets>
  <definedNames>
    <definedName name="_xlnm.Print_Area" localSheetId="0">'Power Budget'!$A$1:$H$72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3" i="1" s="1"/>
  <c r="G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<sst xmlns="http://schemas.openxmlformats.org/spreadsheetml/2006/main" count="92" uniqueCount="54">
  <si>
    <t>Christo Power Budget</t>
  </si>
  <si>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</si>
  <si>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</si>
  <si>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</si>
  <si>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</si>
  <si>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</si>
  <si>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</si>
  <si>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</si>
  <si>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</si>
  <si>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</si>
  <si>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</si>
  <si>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</si>
  <si>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(mA)</t>
  </si>
  <si>
    <t>Unit</t>
  </si>
  <si>
    <t>Voltage Regulator</t>
  </si>
  <si>
    <t>LM7805CT/NOPB</t>
  </si>
  <si>
    <t>+5V</t>
  </si>
  <si>
    <t>mA</t>
  </si>
  <si>
    <t>Rotary Encoder</t>
  </si>
  <si>
    <t>Setup Button</t>
  </si>
  <si>
    <t>B3F-1000</t>
  </si>
  <si>
    <t>LED Indicator</t>
  </si>
  <si>
    <t>WP7113ID</t>
  </si>
  <si>
    <t>+2V</t>
  </si>
  <si>
    <t xml:space="preserve"> +5V Power Rail</t>
  </si>
  <si>
    <t>Subtotal</t>
  </si>
  <si>
    <t>Safety Margin</t>
  </si>
  <si>
    <t>Total Current Required on +5V Rail</t>
  </si>
  <si>
    <t>Regulator</t>
  </si>
  <si>
    <t xml:space="preserve"> +5V Regulator</t>
  </si>
  <si>
    <t>+4.75 - 35V</t>
  </si>
  <si>
    <t>Total Remaining Current Available on +5V Rail</t>
  </si>
  <si>
    <t>Supply
Voltage
Range</t>
  </si>
  <si>
    <t>Absolute
Maximum
Current (mA)</t>
  </si>
  <si>
    <t>Total
Current
(mA)</t>
  </si>
  <si>
    <t>Christo Jomon Joseph</t>
  </si>
  <si>
    <t>Private use Door automation</t>
  </si>
  <si>
    <t xml:space="preserve">Microcontroller </t>
  </si>
  <si>
    <t>PIC18F57Q43 CURIOSITY NANO</t>
  </si>
  <si>
    <t>+1.7 - 5.1 V</t>
  </si>
  <si>
    <t>External Power Source</t>
  </si>
  <si>
    <t>Power Source 1 selection</t>
  </si>
  <si>
    <t>WSU090-2000-R</t>
  </si>
  <si>
    <t>9V 2A Power Supply</t>
  </si>
  <si>
    <t>Output Voltage</t>
  </si>
  <si>
    <t>9V</t>
  </si>
  <si>
    <t>Power Rails Connected to External Power Source</t>
  </si>
  <si>
    <t>+5V Voltage Regulator</t>
  </si>
  <si>
    <t>LM7805</t>
  </si>
  <si>
    <t>+5 - 35V</t>
  </si>
  <si>
    <t>+110-220V</t>
  </si>
  <si>
    <t>EM14R0D-R20-L064S</t>
  </si>
  <si>
    <t>+1.8 - 5.5 V</t>
  </si>
  <si>
    <t>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</si>
</sst>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1"/>
  </cellStyleXfs>
  <cellXfs count="44"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1" xfId="0" applyFont="1" applyAlignment="1">
      <alignment horizontal="right"/>
    </xf>
    <xf numFmtId="0" fontId="4" fillId="0" borderId="1" xfId="0" applyFont="1"/>
    <xf numFmtId="0" fontId="3" fillId="0" borderId="1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/>
    <xf numFmtId="0" fontId="3" fillId="0" borderId="1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0" fillId="0" borderId="1" xfId="0"/>
    <xf numFmtId="0" fontId="3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9" fontId="0" fillId="0" borderId="2" xfId="0" applyNumberFormat="1" applyBorder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/>
    </xf>
    <xf numFmtId="0" fontId="0" fillId="0" borderId="4" xfId="0" applyBorder="1"/>
    <xf numFmtId="0" fontId="0" fillId="0" borderId="3" xfId="0" applyBorder="1"/>
    <xf numFmtId="0" fontId="0" fillId="0" borderId="1" xfId="0" quotePrefix="1"/>
    <xf numFmtId="0" fontId="2" fillId="0" borderId="9" xfId="0" applyFont="1" applyBorder="1"/>
    <xf numFmtId="0" fontId="1" fillId="4" borderId="1" xfId="0" applyFont="1" applyFill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5" fillId="2" borderId="5" xfId="0" applyFont="1" applyFill="1" applyBorder="1" applyAlignment="1">
      <alignment wrapText="1"/>
    </xf>
    <xf numFmtId="0" fontId="0" fillId="0" borderId="6" xfId="0" applyBorder="1"/>
    <xf numFmtId="0" fontId="0" fillId="0" borderId="7" xfId="0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5" fillId="3" borderId="2" xfId="0" applyFont="1" applyFill="1" applyBorder="1" applyAlignment="1">
      <alignment vertical="center"/>
    </xf>
    <xf numFmtId="0" fontId="2" fillId="0" borderId="2" xfId="0" quotePrefix="1" applyFont="1" applyBorder="1"/>
    <xf numFmtId="0" fontId="2" fillId="0" borderId="1" xfId="0" quotePrefix="1" applyFont="1"/>
    <xf numFmtId="0" fontId="3" fillId="0" borderId="2" xfId="0" applyFont="1" applyFill="1" applyBorder="1" applyAlignment="1">
      <alignment horizontal="left" vertical="center"/>
    </xf>
    <xf numFmtId="0" fontId="0" fillId="0" borderId="2" xfId="0" quotePrefix="1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72"/>
  <sheetViews>
    <sheetView tabSelected="1" zoomScale="75" workbookViewId="0">
      <selection activeCell="J26" sqref="J26"/>
    </sheetView>
  </sheetViews>
  <sheetFormatPr defaultColWidth="13.5" defaultRowHeight="15.75" customHeight="1" x14ac:dyDescent="0.5"/>
  <cols>
    <col min="1" max="1" width="43.25" style="1" customWidth="1"/>
    <col min="2" max="2" width="25.125" style="1" customWidth="1"/>
    <col min="3" max="3" width="27.5" style="1" customWidth="1"/>
    <col min="4" max="4" width="31" style="1" customWidth="1"/>
    <col min="5" max="5" width="14.8125" style="1" customWidth="1"/>
    <col min="6" max="6" width="34.5" style="4" customWidth="1"/>
    <col min="7" max="8" width="18.5" style="4" customWidth="1"/>
    <col min="9" max="9" width="13.5" style="1" customWidth="1"/>
    <col min="10" max="16384" width="13.5" style="1"/>
  </cols>
  <sheetData>
    <row r="1" spans="1:8" ht="30" customHeight="1" x14ac:dyDescent="0.9">
      <c r="A1" s="27" t="s">
        <v>0</v>
      </c>
      <c r="B1" s="28"/>
      <c r="C1" s="28"/>
      <c r="D1" s="28"/>
      <c r="E1" s="28"/>
      <c r="F1" s="29"/>
      <c r="G1" s="29"/>
      <c r="H1" s="29"/>
    </row>
    <row r="2" spans="1:8" ht="15" customHeight="1" x14ac:dyDescent="0.5">
      <c r="A2" s="5" t="s">
        <v>1</v>
      </c>
      <c r="B2" s="6">
        <v>103</v>
      </c>
      <c r="D2" s="2"/>
      <c r="E2" s="2"/>
    </row>
    <row r="3" spans="1:8" ht="15" customHeight="1" x14ac:dyDescent="0.5">
      <c r="A3" s="5" t="s">
        <v>2</v>
      </c>
      <c r="B3" s="7" t="s">
        <v>36</v>
      </c>
      <c r="C3" s="3"/>
      <c r="D3" s="2"/>
      <c r="E3" s="2"/>
      <c r="F3" s="2"/>
      <c r="G3" s="2"/>
      <c r="H3" s="2"/>
    </row>
    <row r="4" spans="1:8" ht="15" customHeight="1" x14ac:dyDescent="0.5">
      <c r="A4" s="5" t="s">
        <v>3</v>
      </c>
      <c r="B4" s="7" t="s">
        <v>35</v>
      </c>
      <c r="C4" s="3"/>
      <c r="D4" s="2"/>
      <c r="E4" s="2"/>
      <c r="F4" s="2"/>
      <c r="G4" s="2"/>
      <c r="H4" s="2"/>
    </row>
    <row r="5" spans="1:8" ht="15" customHeight="1" x14ac:dyDescent="0.5">
      <c r="A5" s="5" t="s">
        <v>4</v>
      </c>
      <c r="B5" s="7">
        <v>2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30" t="s">
        <v>5</v>
      </c>
      <c r="B7" s="31"/>
      <c r="C7" s="31"/>
      <c r="D7" s="31"/>
      <c r="E7" s="31"/>
      <c r="F7" s="31"/>
      <c r="G7" s="31"/>
      <c r="H7" s="32"/>
    </row>
    <row r="8" spans="1:8" ht="48" customHeight="1" x14ac:dyDescent="0.5">
      <c r="A8" s="19" t="s">
        <v>6</v>
      </c>
      <c r="B8" s="20" t="s">
        <v>7</v>
      </c>
      <c r="C8" s="20" t="s">
        <v>8</v>
      </c>
      <c r="D8" s="21" t="s">
        <v>9</v>
      </c>
      <c r="E8" s="20" t="s">
        <v>10</v>
      </c>
      <c r="F8" s="21" t="s">
        <v>11</v>
      </c>
      <c r="G8" s="21" t="s">
        <v>12</v>
      </c>
      <c r="H8" s="20" t="s">
        <v>13</v>
      </c>
    </row>
    <row r="9" spans="1:8" ht="15" customHeight="1" x14ac:dyDescent="0.5">
      <c r="A9" s="8"/>
      <c r="B9" s="16" t="s">
        <v>14</v>
      </c>
      <c r="C9" s="16" t="s">
        <v>15</v>
      </c>
      <c r="D9" s="16" t="s">
        <v>16</v>
      </c>
      <c r="E9" s="16">
        <v>1</v>
      </c>
      <c r="F9" s="16">
        <v>6</v>
      </c>
      <c r="G9" s="16">
        <v>6</v>
      </c>
      <c r="H9" s="16" t="s">
        <v>17</v>
      </c>
    </row>
    <row r="10" spans="1:8" ht="15" customHeight="1" x14ac:dyDescent="0.5">
      <c r="A10" s="8"/>
      <c r="B10" s="16" t="s">
        <v>18</v>
      </c>
      <c r="C10" s="16" t="s">
        <v>51</v>
      </c>
      <c r="D10" s="16" t="s">
        <v>16</v>
      </c>
      <c r="E10" s="16">
        <v>1</v>
      </c>
      <c r="F10" s="16">
        <v>26</v>
      </c>
      <c r="G10" s="16">
        <v>26</v>
      </c>
      <c r="H10" s="16" t="s">
        <v>17</v>
      </c>
    </row>
    <row r="11" spans="1:8" ht="15" customHeight="1" x14ac:dyDescent="0.5">
      <c r="A11" s="8"/>
      <c r="B11" s="16" t="s">
        <v>19</v>
      </c>
      <c r="C11" s="16" t="s">
        <v>20</v>
      </c>
      <c r="D11" s="16" t="s">
        <v>16</v>
      </c>
      <c r="E11" s="16">
        <v>1</v>
      </c>
      <c r="F11" s="16">
        <v>1</v>
      </c>
      <c r="G11" s="16">
        <v>1</v>
      </c>
      <c r="H11" s="16" t="s">
        <v>17</v>
      </c>
    </row>
    <row r="12" spans="1:8" ht="15" customHeight="1" x14ac:dyDescent="0.5">
      <c r="A12" s="8"/>
      <c r="B12" s="16" t="s">
        <v>21</v>
      </c>
      <c r="C12" s="16" t="s">
        <v>22</v>
      </c>
      <c r="D12" s="16" t="s">
        <v>23</v>
      </c>
      <c r="E12" s="16">
        <v>1</v>
      </c>
      <c r="F12" s="16">
        <v>20</v>
      </c>
      <c r="G12" s="16">
        <v>20</v>
      </c>
      <c r="H12" s="16" t="s">
        <v>17</v>
      </c>
    </row>
    <row r="13" spans="1:8" s="10" customFormat="1" ht="15" customHeight="1" x14ac:dyDescent="0.5">
      <c r="B13" s="14" t="s">
        <v>37</v>
      </c>
      <c r="C13" s="14" t="s">
        <v>38</v>
      </c>
      <c r="D13" s="25" t="s">
        <v>39</v>
      </c>
      <c r="E13" s="14">
        <v>1</v>
      </c>
      <c r="F13" s="14">
        <v>500</v>
      </c>
      <c r="G13" s="24">
        <v>500</v>
      </c>
      <c r="H13" s="24" t="s">
        <v>17</v>
      </c>
    </row>
    <row r="14" spans="1:8" ht="15" customHeight="1" x14ac:dyDescent="0.5">
      <c r="A14" s="7"/>
      <c r="B14" s="7"/>
      <c r="C14" s="7"/>
      <c r="D14" s="11"/>
      <c r="E14" s="11"/>
      <c r="F14" s="11"/>
      <c r="G14" s="12"/>
      <c r="H14" s="12"/>
    </row>
    <row r="15" spans="1:8" ht="15" customHeight="1" x14ac:dyDescent="0.5">
      <c r="A15" s="22" t="s">
        <v>24</v>
      </c>
      <c r="B15" s="20" t="s">
        <v>7</v>
      </c>
      <c r="C15" s="20" t="s">
        <v>8</v>
      </c>
      <c r="D15" s="21" t="s">
        <v>32</v>
      </c>
      <c r="E15" s="20" t="s">
        <v>10</v>
      </c>
      <c r="F15" s="21" t="s">
        <v>33</v>
      </c>
      <c r="G15" s="21" t="s">
        <v>34</v>
      </c>
      <c r="H15" s="20" t="s">
        <v>13</v>
      </c>
    </row>
    <row r="16" spans="1:8" ht="15" customHeight="1" x14ac:dyDescent="0.5">
      <c r="A16" s="8"/>
      <c r="B16" s="16" t="s">
        <v>18</v>
      </c>
      <c r="C16" s="16" t="s">
        <v>51</v>
      </c>
      <c r="D16" s="16" t="s">
        <v>16</v>
      </c>
      <c r="E16" s="16">
        <v>1</v>
      </c>
      <c r="F16" s="16">
        <v>26</v>
      </c>
      <c r="G16" s="16">
        <v>26</v>
      </c>
      <c r="H16" s="16" t="s">
        <v>17</v>
      </c>
    </row>
    <row r="17" spans="1:8" ht="15" customHeight="1" x14ac:dyDescent="0.5">
      <c r="A17" s="8"/>
      <c r="B17" s="16" t="s">
        <v>19</v>
      </c>
      <c r="C17" s="16" t="s">
        <v>20</v>
      </c>
      <c r="D17" s="16" t="s">
        <v>16</v>
      </c>
      <c r="E17" s="16">
        <v>1</v>
      </c>
      <c r="F17" s="16">
        <v>1</v>
      </c>
      <c r="G17" s="16">
        <v>1</v>
      </c>
      <c r="H17" s="16" t="s">
        <v>17</v>
      </c>
    </row>
    <row r="18" spans="1:8" s="10" customFormat="1" ht="15" customHeight="1" x14ac:dyDescent="0.5">
      <c r="A18" s="26"/>
      <c r="B18" s="14" t="s">
        <v>37</v>
      </c>
      <c r="C18" s="14" t="s">
        <v>38</v>
      </c>
      <c r="D18" s="40" t="s">
        <v>52</v>
      </c>
      <c r="E18" s="14">
        <v>1</v>
      </c>
      <c r="F18" s="14">
        <v>500</v>
      </c>
      <c r="G18" s="24">
        <v>500</v>
      </c>
      <c r="H18" s="24" t="s">
        <v>17</v>
      </c>
    </row>
    <row r="19" spans="1:8" ht="15" customHeight="1" thickBot="1" x14ac:dyDescent="0.55000000000000004">
      <c r="A19" s="13"/>
      <c r="B19" s="23" t="s">
        <v>21</v>
      </c>
      <c r="C19" s="23" t="s">
        <v>22</v>
      </c>
      <c r="D19" s="23" t="s">
        <v>23</v>
      </c>
      <c r="E19" s="23">
        <v>1</v>
      </c>
      <c r="F19" s="23">
        <v>20</v>
      </c>
      <c r="G19" s="23">
        <v>20</v>
      </c>
      <c r="H19" s="23" t="s">
        <v>17</v>
      </c>
    </row>
    <row r="20" spans="1:8" s="10" customFormat="1" ht="15" customHeight="1" thickTop="1" x14ac:dyDescent="0.5">
      <c r="B20" s="14"/>
      <c r="C20" s="14"/>
      <c r="D20" s="14"/>
      <c r="E20" s="14"/>
      <c r="F20" s="14"/>
      <c r="G20" s="14"/>
      <c r="H20" s="14"/>
    </row>
    <row r="21" spans="1:8" ht="15" customHeight="1" x14ac:dyDescent="0.5">
      <c r="D21" s="33" t="s">
        <v>25</v>
      </c>
      <c r="E21" s="33"/>
      <c r="F21" s="34"/>
      <c r="G21" s="16">
        <f>SUM(G16:G20)</f>
        <v>547</v>
      </c>
      <c r="H21" s="16" t="s">
        <v>17</v>
      </c>
    </row>
    <row r="22" spans="1:8" ht="15" customHeight="1" x14ac:dyDescent="0.5">
      <c r="D22" s="33" t="s">
        <v>26</v>
      </c>
      <c r="E22" s="33"/>
      <c r="F22" s="34"/>
      <c r="G22" s="18">
        <v>0.25</v>
      </c>
      <c r="H22" s="9"/>
    </row>
    <row r="23" spans="1:8" ht="15" customHeight="1" x14ac:dyDescent="0.5">
      <c r="D23" s="15" t="s">
        <v>27</v>
      </c>
      <c r="E23" s="15"/>
      <c r="F23" s="17"/>
      <c r="G23" s="8">
        <f>G21*1.25</f>
        <v>683.75</v>
      </c>
      <c r="H23" s="16" t="s">
        <v>17</v>
      </c>
    </row>
    <row r="24" spans="1:8" s="10" customFormat="1" ht="15" customHeight="1" x14ac:dyDescent="0.5">
      <c r="D24" s="7"/>
      <c r="E24" s="7"/>
      <c r="F24" s="11"/>
      <c r="G24" s="14"/>
      <c r="H24" s="14"/>
    </row>
    <row r="25" spans="1:8" ht="15" customHeight="1" x14ac:dyDescent="0.5">
      <c r="A25" s="15" t="s">
        <v>28</v>
      </c>
      <c r="B25" s="16" t="s">
        <v>29</v>
      </c>
      <c r="C25" s="16" t="s">
        <v>15</v>
      </c>
      <c r="D25" s="16" t="s">
        <v>30</v>
      </c>
      <c r="E25" s="16">
        <v>1</v>
      </c>
      <c r="F25" s="16">
        <v>1500</v>
      </c>
      <c r="G25" s="16">
        <v>1500</v>
      </c>
      <c r="H25" s="16" t="s">
        <v>17</v>
      </c>
    </row>
    <row r="26" spans="1:8" ht="15" customHeight="1" thickBot="1" x14ac:dyDescent="0.55000000000000004">
      <c r="B26" s="35" t="s">
        <v>31</v>
      </c>
      <c r="C26" s="36"/>
      <c r="D26" s="36"/>
      <c r="E26" s="36"/>
      <c r="F26" s="37"/>
      <c r="G26" s="23">
        <f>G25-G23</f>
        <v>816.25</v>
      </c>
      <c r="H26" s="23" t="s">
        <v>17</v>
      </c>
    </row>
    <row r="27" spans="1:8" ht="15" customHeight="1" thickTop="1" x14ac:dyDescent="0.5"/>
    <row r="28" spans="1:8" ht="48" customHeight="1" x14ac:dyDescent="0.5">
      <c r="A28" s="38" t="s">
        <v>40</v>
      </c>
      <c r="B28" s="20" t="s">
        <v>7</v>
      </c>
      <c r="C28" s="20" t="s">
        <v>8</v>
      </c>
      <c r="D28" s="21" t="s">
        <v>32</v>
      </c>
      <c r="E28" s="20" t="s">
        <v>44</v>
      </c>
      <c r="F28" s="21" t="s">
        <v>33</v>
      </c>
      <c r="G28" s="21" t="s">
        <v>34</v>
      </c>
      <c r="H28" s="20" t="s">
        <v>13</v>
      </c>
    </row>
    <row r="29" spans="1:8" ht="15" customHeight="1" x14ac:dyDescent="0.5">
      <c r="A29" s="15" t="s">
        <v>41</v>
      </c>
      <c r="B29" s="16" t="s">
        <v>43</v>
      </c>
      <c r="C29" s="16" t="s">
        <v>42</v>
      </c>
      <c r="D29" s="39" t="s">
        <v>50</v>
      </c>
      <c r="E29" s="16" t="s">
        <v>45</v>
      </c>
      <c r="F29" s="16">
        <v>2000</v>
      </c>
      <c r="G29" s="16">
        <v>2000</v>
      </c>
      <c r="H29" s="16" t="s">
        <v>17</v>
      </c>
    </row>
    <row r="30" spans="1:8" ht="28.5" customHeight="1" x14ac:dyDescent="0.5">
      <c r="A30" s="41" t="s">
        <v>46</v>
      </c>
      <c r="B30" s="42" t="s">
        <v>47</v>
      </c>
      <c r="C30" s="43" t="s">
        <v>48</v>
      </c>
      <c r="D30" s="42" t="s">
        <v>49</v>
      </c>
      <c r="E30" s="8" t="s">
        <v>53</v>
      </c>
      <c r="F30" s="9">
        <v>1500</v>
      </c>
      <c r="G30" s="9">
        <v>1500</v>
      </c>
      <c r="H30" s="9" t="s">
        <v>17</v>
      </c>
    </row>
    <row r="31" spans="1:8" ht="15" customHeight="1" x14ac:dyDescent="0.5"/>
    <row r="32" spans="1:8" ht="15" customHeight="1" thickTop="1" x14ac:dyDescent="0.5">
      <c r="D32" s="28"/>
      <c r="E32" s="28"/>
      <c r="F32" s="29"/>
    </row>
    <row r="33" spans="2:6" ht="15" customHeight="1" thickBot="1" x14ac:dyDescent="0.55000000000000004">
      <c r="D33" s="28"/>
      <c r="E33" s="28"/>
      <c r="F33" s="29"/>
    </row>
    <row r="34" spans="2:6" ht="15" customHeight="1" thickTop="1" x14ac:dyDescent="0.5">
      <c r="D34" s="28"/>
      <c r="E34" s="28"/>
      <c r="F34" s="29"/>
    </row>
    <row r="35" spans="2:6" ht="15" customHeight="1" x14ac:dyDescent="0.5"/>
    <row r="36" spans="2:6" ht="15" customHeight="1" thickBot="1" x14ac:dyDescent="0.55000000000000004"/>
    <row r="37" spans="2:6" ht="15" customHeight="1" thickTop="1" x14ac:dyDescent="0.5">
      <c r="B37" s="28"/>
      <c r="C37" s="28"/>
      <c r="D37" s="28"/>
      <c r="E37" s="28"/>
      <c r="F37" s="29"/>
    </row>
    <row r="38" spans="2:6" ht="15" customHeight="1" x14ac:dyDescent="0.5"/>
    <row r="39" spans="2:6" ht="48" customHeight="1" thickBot="1" x14ac:dyDescent="0.55000000000000004"/>
    <row r="40" spans="2:6" ht="15" customHeight="1" x14ac:dyDescent="0.5"/>
    <row r="41" spans="2:6" ht="15" customHeight="1" thickBot="1" x14ac:dyDescent="0.55000000000000004"/>
    <row r="42" spans="2:6" ht="15" customHeight="1" thickTop="1" x14ac:dyDescent="0.5">
      <c r="D42" s="28"/>
      <c r="E42" s="28"/>
      <c r="F42" s="29"/>
    </row>
    <row r="43" spans="2:6" ht="15" customHeight="1" thickBot="1" x14ac:dyDescent="0.55000000000000004">
      <c r="D43" s="28"/>
      <c r="E43" s="28"/>
      <c r="F43" s="29"/>
    </row>
    <row r="44" spans="2:6" ht="15" customHeight="1" thickTop="1" x14ac:dyDescent="0.5">
      <c r="D44" s="28"/>
      <c r="E44" s="28"/>
      <c r="F44" s="29"/>
    </row>
    <row r="45" spans="2:6" ht="15" customHeight="1" x14ac:dyDescent="0.5"/>
    <row r="46" spans="2:6" ht="32.25" customHeight="1" thickBot="1" x14ac:dyDescent="0.55000000000000004"/>
    <row r="47" spans="2:6" ht="15" customHeight="1" thickTop="1" x14ac:dyDescent="0.5">
      <c r="B47" s="28"/>
      <c r="C47" s="28"/>
      <c r="D47" s="28"/>
      <c r="E47" s="28"/>
      <c r="F47" s="29"/>
    </row>
    <row r="48" spans="2:6" s="10" customFormat="1" ht="15" customHeight="1" thickBot="1" x14ac:dyDescent="0.55000000000000004"/>
    <row r="49" spans="1:6" ht="48" customHeight="1" thickBot="1" x14ac:dyDescent="0.55000000000000004"/>
    <row r="50" spans="1:6" ht="15" customHeight="1" x14ac:dyDescent="0.5"/>
    <row r="51" spans="1:6" ht="15" customHeight="1" x14ac:dyDescent="0.5"/>
    <row r="52" spans="1:6" ht="15" customHeight="1" x14ac:dyDescent="0.5">
      <c r="A52" s="28"/>
    </row>
    <row r="53" spans="1:6" ht="15" customHeight="1" x14ac:dyDescent="0.5">
      <c r="A53" s="28"/>
    </row>
    <row r="54" spans="1:6" ht="32.25" customHeight="1" thickBot="1" x14ac:dyDescent="0.55000000000000004">
      <c r="A54" s="28"/>
    </row>
    <row r="55" spans="1:6" ht="15" customHeight="1" thickTop="1" thickBot="1" x14ac:dyDescent="0.55000000000000004">
      <c r="A55" s="28"/>
      <c r="B55" s="28"/>
      <c r="C55" s="28"/>
      <c r="D55" s="28"/>
      <c r="E55" s="28"/>
      <c r="F55" s="29"/>
    </row>
    <row r="56" spans="1:6" ht="15" customHeight="1" thickBot="1" x14ac:dyDescent="0.55000000000000004"/>
    <row r="57" spans="1:6" ht="48" customHeight="1" thickBot="1" x14ac:dyDescent="0.55000000000000004"/>
    <row r="58" spans="1:6" ht="15" customHeight="1" x14ac:dyDescent="0.5"/>
    <row r="59" spans="1:6" ht="15" customHeight="1" x14ac:dyDescent="0.5"/>
    <row r="60" spans="1:6" ht="15" customHeight="1" x14ac:dyDescent="0.5">
      <c r="A60" s="28"/>
    </row>
    <row r="61" spans="1:6" ht="15" customHeight="1" x14ac:dyDescent="0.5">
      <c r="A61" s="28"/>
    </row>
    <row r="62" spans="1:6" ht="15" customHeight="1" thickBot="1" x14ac:dyDescent="0.55000000000000004">
      <c r="A62" s="28"/>
    </row>
    <row r="63" spans="1:6" ht="15" customHeight="1" thickTop="1" thickBot="1" x14ac:dyDescent="0.55000000000000004">
      <c r="B63" s="28"/>
      <c r="C63" s="28"/>
      <c r="D63" s="28"/>
      <c r="E63" s="28"/>
      <c r="F63" s="29"/>
    </row>
    <row r="64" spans="1:6" ht="15" customHeight="1" thickBot="1" x14ac:dyDescent="0.55000000000000004"/>
    <row r="65" spans="1:8" ht="15" customHeight="1" x14ac:dyDescent="0.5">
      <c r="A65" s="28"/>
      <c r="B65" s="28"/>
      <c r="C65" s="28"/>
      <c r="D65" s="28"/>
      <c r="E65" s="28"/>
      <c r="F65" s="29"/>
    </row>
    <row r="66" spans="1:8" ht="47.25" customHeight="1" x14ac:dyDescent="0.5"/>
    <row r="67" spans="1:8" ht="15" customHeight="1" thickBot="1" x14ac:dyDescent="0.55000000000000004"/>
    <row r="68" spans="1:8" ht="15" customHeight="1" thickTop="1" thickBot="1" x14ac:dyDescent="0.55000000000000004"/>
    <row r="69" spans="1:8" ht="15" customHeight="1" thickBot="1" x14ac:dyDescent="0.55000000000000004"/>
    <row r="70" spans="1:8" ht="15" customHeight="1" x14ac:dyDescent="0.5">
      <c r="A70" s="28"/>
      <c r="B70" s="28"/>
      <c r="C70" s="28"/>
      <c r="D70" s="28"/>
      <c r="E70" s="28"/>
      <c r="F70" s="29"/>
    </row>
    <row r="71" spans="1:8" ht="15" customHeight="1" x14ac:dyDescent="0.5">
      <c r="A71" s="28"/>
      <c r="B71" s="28"/>
      <c r="C71" s="28"/>
      <c r="D71" s="28"/>
      <c r="E71" s="28"/>
      <c r="F71" s="29"/>
      <c r="G71" s="29"/>
      <c r="H71" s="29"/>
    </row>
    <row r="72" spans="1:8" ht="15" customHeight="1" thickBot="1" x14ac:dyDescent="0.55000000000000004">
      <c r="A72" s="28"/>
      <c r="B72" s="28"/>
      <c r="C72" s="28"/>
      <c r="D72" s="28"/>
      <c r="E72" s="28"/>
      <c r="F72" s="29"/>
      <c r="G72" s="29"/>
      <c r="H72" s="29"/>
    </row>
  </sheetData>
  <mergeCells count="21">
    <mergeCell ref="D32:F32"/>
    <mergeCell ref="D33:F33"/>
    <mergeCell ref="B37:F37"/>
    <mergeCell ref="B26:F26"/>
    <mergeCell ref="D34:F34"/>
    <mergeCell ref="A1:H1"/>
    <mergeCell ref="A7:H7"/>
    <mergeCell ref="A71:H71"/>
    <mergeCell ref="A72:H72"/>
    <mergeCell ref="A52:A54"/>
    <mergeCell ref="A60:A62"/>
    <mergeCell ref="B63:F63"/>
    <mergeCell ref="A65:F65"/>
    <mergeCell ref="A70:F70"/>
    <mergeCell ref="A55:F55"/>
    <mergeCell ref="D42:F42"/>
    <mergeCell ref="D43:F43"/>
    <mergeCell ref="D44:F44"/>
    <mergeCell ref="B47:F47"/>
    <mergeCell ref="D21:F21"/>
    <mergeCell ref="D22:F22"/>
  </mergeCells>
  <conditionalFormatting sqref="G26:G27 G37:G38 G47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6" max="7" man="1"/>
    <brk id="47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Joseph</dc:creator>
  <cp:lastModifiedBy>Christo Jomon Joseph</cp:lastModifiedBy>
  <cp:lastPrinted>2025-08-22T22:55:28Z</cp:lastPrinted>
  <dcterms:created xsi:type="dcterms:W3CDTF">2025-10-27T09:03:03Z</dcterms:created>
  <dcterms:modified xsi:type="dcterms:W3CDTF">2025-12-07T22:17:30Z</dcterms:modified>
</cp:coreProperties>
</file>